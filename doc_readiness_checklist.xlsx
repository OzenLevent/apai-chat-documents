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7CF5B6D5-D258-4560-9532-A0D71112C962}" xr6:coauthVersionLast="47" xr6:coauthVersionMax="47" xr10:uidLastSave="{00000000-0000-0000-0000-000000000000}"/>
  <bookViews>
    <workbookView xWindow="57480" yWindow="-120" windowWidth="29040" windowHeight="16440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<sst xmlns="http://schemas.openxmlformats.org/spreadsheetml/2006/main" count="498" uniqueCount="164">
  <si>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</si>
  <si>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</si>
  <si>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</si>
  <si>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</si>
  <si>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</si>
  <si>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</si>
  <si>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</si>
  <si>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</si>
  <si>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</si>
  <si>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</si>
  <si>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</si>
  <si>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</si>
  <si>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</si>
  <si>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</si>
  <si>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★ 124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</si>
  <si>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</si>
  <si>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</si>
  <si>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</si>
  <si>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</si>
  <si>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</si>
  <si>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</si>
  <si>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</si>
  <si>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★ 39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</si>
  <si>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</si>
  <si>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</si>
  <si>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</si>
  <si>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</si>
  <si>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</si>
  <si>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</si>
  <si>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</si>
  <si>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</si>
  <si>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</si>
  <si>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</si>
  <si>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★ 76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</si>
  <si>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</si>
  <si>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</si>
  <si>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</si>
  <si>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</si>
  <si>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</si>
  <si>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</si>
  <si>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</si>
  <si>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</si>
  <si>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</si>
  <si>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</si>
  <si>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</si>
  <si>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★ 43</t>
  </si>
  <si>
    <t>Apogee_Impose_RG_14.0.1_en-US</t>
  </si>
  <si>
    <t>★ 62</t>
  </si>
  <si>
    <t>ApogeeColor InkLimitation target</t>
  </si>
  <si>
    <t>TUTORIAL</t>
  </si>
  <si>
    <t>Basic Administrative Tasks</t>
  </si>
  <si>
    <t>★ 98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</si>
  <si>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</si>
  <si>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</si>
  <si>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</si>
  <si>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</si>
  <si>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</si>
  <si>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</si>
  <si>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</si>
  <si>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</si>
  <si>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</si>
  <si>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★ 95</t>
  </si>
  <si>
    <t>Lesson 27 - Mixed Assemblies with Auto Impose</t>
  </si>
  <si>
    <t>Proofing-Contract-Proofing</t>
  </si>
  <si>
    <t>★ 44</t>
  </si>
  <si>
    <t>QMS-Check-and-Double-Check</t>
  </si>
  <si>
    <t>★ 45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</si>
  <si>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</si>
  <si>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</si>
  <si>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</si>
  <si>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</si>
  <si>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</si>
  <si>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</si>
  <si>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★ 53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</si>
  <si>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</si>
  <si>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</si>
  <si>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</si>
  <si>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</si>
  <si>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</si>
  <si>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</si>
  <si>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</si>
  <si>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</si>
  <si>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</si>
  <si>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</si>
  <si>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</si>
  <si>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</si>
  <si>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</si>
  <si>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</si>
  <si>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</si>
  <si>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★ 117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</si>
  <si>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</si>
  <si>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</si>
  <si>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</si>
  <si>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</si>
  <si>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</si>
  <si>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</si>
  <si>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</si>
  <si>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</si>
  <si>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</si>
  <si>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★ 48</t>
  </si>
  <si>
    <t>ProductionCenter_UG_14.0_en-US</t>
  </si>
  <si>
    <t>PRODUCTION_CENTER</t>
  </si>
  <si>
    <t>★ 38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</si>
  <si>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</si>
  <si>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</si>
  <si>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</si>
  <si>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</si>
  <si>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</si>
  <si>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★ 67</t>
  </si>
  <si>
    <t>ProductionCenter-Tips_Supplementary-Files</t>
  </si>
  <si>
    <t>Approve and reject pages</t>
  </si>
  <si>
    <t>★ 116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</si>
  <si>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</si>
  <si>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</si>
  <si>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</si>
  <si>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</si>
  <si>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</si>
  <si>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</si>
  <si>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</si>
  <si>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</si>
  <si>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</si>
  <si>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</si>
  <si>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</si>
  <si>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</si>
  <si>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</si>
  <si>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</si>
  <si>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</si>
  <si>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</si>
  <si>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</si>
  <si>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</si>
  <si>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</si>
  <si>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</si>
  <si>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</si>
  <si>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</si>
  <si>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</si>
  <si>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</si>
  <si>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</si>
  <si>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</si>
  <si>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Technical Note – Proofing: TN Apogee Prepress 14 - Custom Media advanced mode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</si>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</sst>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 activeCell="B76" sqref="B76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15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>
        <v>126</v>
      </c>
      <c r="B4" t="s">
        <v>16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>
        <v>127</v>
      </c>
      <c r="B5" t="s">
        <v>17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18</v>
      </c>
      <c r="C6" t="s">
        <v>19</v>
      </c>
      <c r="D6" t="s">
        <v>19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22</v>
      </c>
      <c r="B7" t="s">
        <v>20</v>
      </c>
      <c r="C7" t="s">
        <v>21</v>
      </c>
      <c r="D7" t="s">
        <v>19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23</v>
      </c>
      <c r="C8" t="s">
        <v>21</v>
      </c>
      <c r="D8" t="s">
        <v>19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>
        <v>86</v>
      </c>
      <c r="B9" t="s">
        <v>24</v>
      </c>
      <c r="C9" t="s">
        <v>21</v>
      </c>
      <c r="D9" t="s">
        <v>19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>
        <v>87</v>
      </c>
      <c r="B10" t="s">
        <v>25</v>
      </c>
      <c r="C10" t="s">
        <v>21</v>
      </c>
      <c r="D10" t="s">
        <v>19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26</v>
      </c>
      <c r="C11" t="s">
        <v>21</v>
      </c>
      <c r="D11" t="s">
        <v>19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27</v>
      </c>
      <c r="C12" t="s">
        <v>21</v>
      </c>
      <c r="D12" t="s">
        <v>19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28</v>
      </c>
      <c r="C13" t="s">
        <v>21</v>
      </c>
      <c r="D13" t="s">
        <v>19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29</v>
      </c>
      <c r="C14" t="s">
        <v>21</v>
      </c>
      <c r="D14" t="s">
        <v>19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30</v>
      </c>
      <c r="C15" t="s">
        <v>21</v>
      </c>
      <c r="D15" t="s">
        <v>19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>
        <v>75</v>
      </c>
      <c r="B16" t="s">
        <v>31</v>
      </c>
      <c r="C16" t="s">
        <v>21</v>
      </c>
      <c r="D16" t="s">
        <v>19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33</v>
      </c>
      <c r="B17" t="s">
        <v>32</v>
      </c>
      <c r="C17" t="s">
        <v>21</v>
      </c>
      <c r="D17" t="s">
        <v>19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34</v>
      </c>
      <c r="C18" t="s">
        <v>21</v>
      </c>
      <c r="D18" t="s">
        <v>19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>
        <v>78</v>
      </c>
      <c r="B19" t="s">
        <v>35</v>
      </c>
      <c r="C19" t="s">
        <v>21</v>
      </c>
      <c r="D19" t="s">
        <v>19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36</v>
      </c>
      <c r="C20" t="s">
        <v>21</v>
      </c>
      <c r="D20" t="s">
        <v>19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37</v>
      </c>
      <c r="C21" t="s">
        <v>21</v>
      </c>
      <c r="D21" t="s">
        <v>19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38</v>
      </c>
      <c r="C22" t="s">
        <v>21</v>
      </c>
      <c r="D22" t="s">
        <v>19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39</v>
      </c>
      <c r="C23" t="s">
        <v>21</v>
      </c>
      <c r="D23" t="s">
        <v>19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40</v>
      </c>
      <c r="C24" t="s">
        <v>21</v>
      </c>
      <c r="D24" t="s">
        <v>19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>
        <v>84</v>
      </c>
      <c r="B25" t="s">
        <v>41</v>
      </c>
      <c r="C25" t="s">
        <v>21</v>
      </c>
      <c r="D25" t="s">
        <v>19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42</v>
      </c>
      <c r="C26" t="s">
        <v>21</v>
      </c>
      <c r="D26" t="s">
        <v>43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45</v>
      </c>
      <c r="B27" t="s">
        <v>44</v>
      </c>
      <c r="C27" t="s">
        <v>21</v>
      </c>
      <c r="D27" t="s">
        <v>43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47</v>
      </c>
      <c r="B28" t="s">
        <v>46</v>
      </c>
      <c r="C28" t="s">
        <v>21</v>
      </c>
      <c r="D28" t="s">
        <v>43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48</v>
      </c>
      <c r="C29" t="s">
        <v>21</v>
      </c>
      <c r="D29" t="s">
        <v>49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51</v>
      </c>
      <c r="B30" t="s">
        <v>50</v>
      </c>
      <c r="C30" t="s">
        <v>21</v>
      </c>
      <c r="D30" t="s">
        <v>49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52</v>
      </c>
      <c r="C31" t="s">
        <v>21</v>
      </c>
      <c r="D31" t="s">
        <v>49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53</v>
      </c>
      <c r="C32" t="s">
        <v>21</v>
      </c>
      <c r="D32" t="s">
        <v>49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54</v>
      </c>
      <c r="C33" t="s">
        <v>21</v>
      </c>
      <c r="D33" t="s">
        <v>49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55</v>
      </c>
      <c r="C34" t="s">
        <v>21</v>
      </c>
      <c r="D34" t="s">
        <v>49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56</v>
      </c>
      <c r="C35" t="s">
        <v>21</v>
      </c>
      <c r="D35" t="s">
        <v>49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57</v>
      </c>
      <c r="C36" t="s">
        <v>21</v>
      </c>
      <c r="D36" t="s">
        <v>49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58</v>
      </c>
      <c r="C37" t="s">
        <v>21</v>
      </c>
      <c r="D37" t="s">
        <v>49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59</v>
      </c>
      <c r="C38" t="s">
        <v>21</v>
      </c>
      <c r="D38" t="s">
        <v>49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61</v>
      </c>
      <c r="B39" t="s">
        <v>60</v>
      </c>
      <c r="C39" t="s">
        <v>21</v>
      </c>
      <c r="D39" t="s">
        <v>49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62</v>
      </c>
      <c r="C40" t="s">
        <v>21</v>
      </c>
      <c r="D40" t="s">
        <v>49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64</v>
      </c>
      <c r="B41" t="s">
        <v>63</v>
      </c>
      <c r="C41" t="s">
        <v>21</v>
      </c>
      <c r="D41" t="s">
        <v>49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66</v>
      </c>
      <c r="B42" t="s">
        <v>65</v>
      </c>
      <c r="C42" t="s">
        <v>21</v>
      </c>
      <c r="D42" t="s">
        <v>49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67</v>
      </c>
      <c r="C43" t="s">
        <v>21</v>
      </c>
      <c r="D43" t="s">
        <v>49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68</v>
      </c>
      <c r="C44" t="s">
        <v>21</v>
      </c>
      <c r="D44" t="s">
        <v>49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69</v>
      </c>
      <c r="C45" t="s">
        <v>21</v>
      </c>
      <c r="D45" t="s">
        <v>49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4" t="s">
        <v>73</v>
      </c>
      <c r="B46" t="s">
        <v>70</v>
      </c>
      <c r="C46" t="s">
        <v>21</v>
      </c>
      <c r="D46" t="s">
        <v>49</v>
      </c>
      <c r="E46">
        <v>14</v>
      </c>
      <c r="G46" s="5" t="s">
        <v>71</v>
      </c>
      <c r="H46">
        <v>0</v>
      </c>
      <c r="I46">
        <v>0</v>
      </c>
      <c r="J46" s="6" t="s">
        <v>72</v>
      </c>
    </row>
    <row r="47" spans="1:10" x14ac:dyDescent="0.3">
      <c r="A47">
        <v>54</v>
      </c>
      <c r="B47" t="s">
        <v>74</v>
      </c>
      <c r="C47" t="s">
        <v>21</v>
      </c>
      <c r="D47" t="s">
        <v>49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75</v>
      </c>
      <c r="C48" t="s">
        <v>21</v>
      </c>
      <c r="D48" t="s">
        <v>49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76</v>
      </c>
      <c r="C49" t="s">
        <v>21</v>
      </c>
      <c r="D49" t="s">
        <v>49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77</v>
      </c>
      <c r="C50" t="s">
        <v>21</v>
      </c>
      <c r="D50" t="s">
        <v>49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>
        <v>58</v>
      </c>
      <c r="B51" t="s">
        <v>78</v>
      </c>
      <c r="C51" t="s">
        <v>21</v>
      </c>
      <c r="D51" t="s">
        <v>49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79</v>
      </c>
      <c r="C52" t="s">
        <v>21</v>
      </c>
      <c r="D52" t="s">
        <v>49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80</v>
      </c>
      <c r="C53" t="s">
        <v>21</v>
      </c>
      <c r="D53" t="s">
        <v>49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81</v>
      </c>
      <c r="C54" t="s">
        <v>21</v>
      </c>
      <c r="D54" t="s">
        <v>49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82</v>
      </c>
      <c r="C55" t="s">
        <v>21</v>
      </c>
      <c r="D55" t="s">
        <v>49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83</v>
      </c>
      <c r="C56" t="s">
        <v>21</v>
      </c>
      <c r="D56" t="s">
        <v>49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84</v>
      </c>
      <c r="C57" t="s">
        <v>21</v>
      </c>
      <c r="D57" t="s">
        <v>49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85</v>
      </c>
      <c r="C58" t="s">
        <v>21</v>
      </c>
      <c r="D58" t="s">
        <v>49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86</v>
      </c>
      <c r="C59" t="s">
        <v>21</v>
      </c>
      <c r="D59" t="s">
        <v>49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87</v>
      </c>
      <c r="C60" t="s">
        <v>21</v>
      </c>
      <c r="D60" t="s">
        <v>49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89</v>
      </c>
      <c r="B61" t="s">
        <v>88</v>
      </c>
      <c r="C61" t="s">
        <v>21</v>
      </c>
      <c r="D61" t="s">
        <v>49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90</v>
      </c>
      <c r="C62" t="s">
        <v>21</v>
      </c>
      <c r="D62" t="s">
        <v>49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91</v>
      </c>
      <c r="C63" t="s">
        <v>21</v>
      </c>
      <c r="D63" t="s">
        <v>49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92</v>
      </c>
      <c r="C64" t="s">
        <v>21</v>
      </c>
      <c r="D64" t="s">
        <v>49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93</v>
      </c>
      <c r="C65" t="s">
        <v>21</v>
      </c>
      <c r="D65" t="s">
        <v>49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94</v>
      </c>
      <c r="C66" t="s">
        <v>21</v>
      </c>
      <c r="D66" t="s">
        <v>49</v>
      </c>
      <c r="E66">
        <v>15</v>
      </c>
      <c r="F66" s="2">
        <v>46162.022916666669</v>
      </c>
      <c r="G66" s="6" t="s">
        <v>95</v>
      </c>
      <c r="H66">
        <v>32</v>
      </c>
      <c r="I66">
        <v>0</v>
      </c>
      <c r="J66" s="6" t="s">
        <v>96</v>
      </c>
    </row>
    <row r="67" spans="1:10" x14ac:dyDescent="0.3">
      <c r="A67">
        <v>123</v>
      </c>
      <c r="B67" t="s">
        <v>97</v>
      </c>
      <c r="C67" t="s">
        <v>21</v>
      </c>
      <c r="D67" t="s">
        <v>49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99</v>
      </c>
      <c r="B68" t="s">
        <v>98</v>
      </c>
      <c r="C68" t="s">
        <v>21</v>
      </c>
      <c r="D68" t="s">
        <v>49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102</v>
      </c>
      <c r="B69" t="s">
        <v>100</v>
      </c>
      <c r="C69" t="s">
        <v>101</v>
      </c>
      <c r="D69" t="s">
        <v>19</v>
      </c>
      <c r="E69">
        <v>14</v>
      </c>
      <c r="F69" s="2">
        <v>46147.338888888888</v>
      </c>
      <c r="G69" s="6" t="s">
        <v>95</v>
      </c>
      <c r="H69">
        <v>278</v>
      </c>
      <c r="I69">
        <v>0</v>
      </c>
      <c r="J69" s="6" t="s">
        <v>96</v>
      </c>
    </row>
    <row r="70" spans="1:10" x14ac:dyDescent="0.3">
      <c r="A70">
        <v>63</v>
      </c>
      <c r="B70" t="s">
        <v>103</v>
      </c>
      <c r="C70" t="s">
        <v>101</v>
      </c>
      <c r="D70" t="s">
        <v>19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>
        <v>64</v>
      </c>
      <c r="B71" t="s">
        <v>104</v>
      </c>
      <c r="C71" t="s">
        <v>101</v>
      </c>
      <c r="D71" t="s">
        <v>19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>
        <v>71</v>
      </c>
      <c r="B72" t="s">
        <v>105</v>
      </c>
      <c r="C72" t="s">
        <v>101</v>
      </c>
      <c r="D72" t="s">
        <v>19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106</v>
      </c>
      <c r="C73" t="s">
        <v>101</v>
      </c>
      <c r="D73" t="s">
        <v>19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108</v>
      </c>
      <c r="B74" t="s">
        <v>107</v>
      </c>
      <c r="C74" t="s">
        <v>101</v>
      </c>
      <c r="D74" t="s">
        <v>19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109</v>
      </c>
      <c r="C75" t="s">
        <v>101</v>
      </c>
      <c r="D75" t="s">
        <v>19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111</v>
      </c>
      <c r="B76" t="s">
        <v>110</v>
      </c>
      <c r="C76" t="s">
        <v>101</v>
      </c>
      <c r="D76" t="s">
        <v>49</v>
      </c>
      <c r="E76">
        <v>14</v>
      </c>
      <c r="F76" s="2">
        <v>46162.020833333336</v>
      </c>
      <c r="G76" s="6" t="s">
        <v>95</v>
      </c>
      <c r="H76">
        <v>15</v>
      </c>
      <c r="I76">
        <v>0</v>
      </c>
      <c r="J76" s="6" t="s">
        <v>96</v>
      </c>
    </row>
    <row r="77" spans="1:10" x14ac:dyDescent="0.3">
      <c r="A77">
        <v>115</v>
      </c>
      <c r="B77" t="s">
        <v>112</v>
      </c>
      <c r="C77" t="s">
        <v>101</v>
      </c>
      <c r="D77" t="s">
        <v>49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113</v>
      </c>
      <c r="C78" t="s">
        <v>101</v>
      </c>
      <c r="D78" t="s">
        <v>49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114</v>
      </c>
      <c r="C79" t="s">
        <v>101</v>
      </c>
      <c r="D79" t="s">
        <v>49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115</v>
      </c>
      <c r="C80" t="s">
        <v>101</v>
      </c>
      <c r="D80" t="s">
        <v>49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9"/>
  <sheetViews>
    <sheetView tabSelected="1" workbookViewId="0">
      <pane ySplit="3" topLeftCell="A4" activePane="bottomLeft" state="frozenSplit"/>
      <selection pane="bottomLeft" activeCell="A4" sqref="A4"/>
    </sheetView>
  </sheetViews>
  <sheetFormatPr defaultRowHeight="14.4" x14ac:dyDescent="0.3"/>
  <cols>
    <col min="1" max="1" width="80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12" t="s">
        <v>116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">
      <c r="A2" s="13" t="s">
        <v>117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7" t="s">
        <v>8</v>
      </c>
      <c r="I3" s="7" t="s">
        <v>118</v>
      </c>
      <c r="J3" s="7" t="s">
        <v>119</v>
      </c>
      <c r="K3" s="8" t="s">
        <v>120</v>
      </c>
      <c r="L3" s="8" t="s">
        <v>121</v>
      </c>
      <c r="M3" s="8" t="s">
        <v>122</v>
      </c>
      <c r="N3" s="8" t="s">
        <v>123</v>
      </c>
      <c r="O3" s="8" t="s">
        <v>124</v>
      </c>
      <c r="P3" s="8" t="s">
        <v>125</v>
      </c>
      <c r="Q3" s="8" t="s">
        <v>126</v>
      </c>
      <c r="R3" s="8" t="s">
        <v>127</v>
      </c>
      <c r="S3" s="8" t="s">
        <v>128</v>
      </c>
      <c r="T3" s="8" t="s">
        <v>129</v>
      </c>
    </row>
    <row r="4" spans="1:20" x14ac:dyDescent="0.3">
      <c r="A4" s="10" t="s">
        <v>130</v>
      </c>
      <c r="B4" s="10" t="s">
        <v>11</v>
      </c>
      <c r="C4" s="10" t="s">
        <v>12</v>
      </c>
      <c r="D4" s="10">
        <v>14</v>
      </c>
      <c r="E4" s="11">
        <v>46175.950694444444</v>
      </c>
      <c r="F4" s="10" t="s">
        <v>13</v>
      </c>
      <c r="G4" s="10">
        <v>2</v>
      </c>
      <c r="H4" s="10">
        <v>0</v>
      </c>
      <c r="I4" s="10"/>
      <c r="J4" s="10" t="s">
        <v>131</v>
      </c>
      <c r="K4" s="9">
        <v>4</v>
      </c>
      <c r="L4" s="9">
        <v>4</v>
      </c>
      <c r="M4" s="9">
        <v>4</v>
      </c>
      <c r="N4" s="9">
        <v>4</v>
      </c>
      <c r="O4" s="9">
        <v>3</v>
      </c>
      <c r="P4" s="9">
        <v>4</v>
      </c>
      <c r="Q4" s="9">
        <v>3</v>
      </c>
      <c r="R4" s="9">
        <v>4</v>
      </c>
      <c r="S4">
        <f t="shared" ref="S4:S18" si="0">IFERROR(AVERAGE(K4:R4),"")</f>
        <v>3.75</v>
      </c>
    </row>
    <row r="5" spans="1:20" x14ac:dyDescent="0.3">
      <c r="A5" t="s">
        <v>132</v>
      </c>
      <c r="B5" t="s">
        <v>21</v>
      </c>
      <c r="C5" t="s">
        <v>19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131</v>
      </c>
      <c r="K5" s="9">
        <v>3</v>
      </c>
      <c r="L5" s="9">
        <v>4</v>
      </c>
      <c r="M5" s="9">
        <v>4</v>
      </c>
      <c r="N5" s="9">
        <v>4</v>
      </c>
      <c r="O5" s="9">
        <v>5</v>
      </c>
      <c r="P5" s="9">
        <v>2</v>
      </c>
      <c r="Q5" s="9">
        <v>2</v>
      </c>
      <c r="R5" s="9">
        <v>4</v>
      </c>
      <c r="S5">
        <f t="shared" si="0"/>
        <v>3.5</v>
      </c>
      <c r="T5" t="s">
        <v>161</v>
      </c>
    </row>
    <row r="6" spans="1:20" x14ac:dyDescent="0.3">
      <c r="A6" s="10" t="s">
        <v>133</v>
      </c>
      <c r="B6" s="10" t="s">
        <v>21</v>
      </c>
      <c r="C6" s="10" t="s">
        <v>19</v>
      </c>
      <c r="D6" s="10">
        <v>14</v>
      </c>
      <c r="E6" s="11">
        <v>46147.351388888892</v>
      </c>
      <c r="F6" s="10" t="s">
        <v>13</v>
      </c>
      <c r="G6" s="10">
        <v>1342</v>
      </c>
      <c r="H6" s="10">
        <v>0</v>
      </c>
      <c r="I6" s="10"/>
      <c r="J6" s="10" t="s">
        <v>131</v>
      </c>
      <c r="K6" s="9"/>
      <c r="L6" s="9"/>
      <c r="M6" s="9"/>
      <c r="N6" s="9"/>
      <c r="O6" s="9"/>
      <c r="P6" s="9"/>
      <c r="Q6" s="9"/>
      <c r="R6" s="9"/>
      <c r="S6" t="str">
        <f t="shared" si="0"/>
        <v/>
      </c>
    </row>
    <row r="7" spans="1:20" x14ac:dyDescent="0.3">
      <c r="A7" t="s">
        <v>134</v>
      </c>
      <c r="B7" t="s">
        <v>21</v>
      </c>
      <c r="C7" t="s">
        <v>43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131</v>
      </c>
      <c r="K7" s="9"/>
      <c r="L7" s="9"/>
      <c r="M7" s="9"/>
      <c r="N7" s="9"/>
      <c r="O7" s="9"/>
      <c r="P7" s="9"/>
      <c r="Q7" s="9"/>
      <c r="R7" s="9"/>
      <c r="S7" t="str">
        <f t="shared" si="0"/>
        <v/>
      </c>
    </row>
    <row r="8" spans="1:20" x14ac:dyDescent="0.3">
      <c r="A8" s="10" t="s">
        <v>135</v>
      </c>
      <c r="B8" s="10" t="s">
        <v>21</v>
      </c>
      <c r="C8" s="10" t="s">
        <v>43</v>
      </c>
      <c r="D8" s="10">
        <v>14</v>
      </c>
      <c r="E8" s="11">
        <v>46149.958333333336</v>
      </c>
      <c r="F8" s="10" t="s">
        <v>13</v>
      </c>
      <c r="G8" s="10">
        <v>142</v>
      </c>
      <c r="H8" s="10">
        <v>0</v>
      </c>
      <c r="I8" s="10"/>
      <c r="J8" s="10" t="s">
        <v>131</v>
      </c>
      <c r="K8" s="9"/>
      <c r="L8" s="9"/>
      <c r="M8" s="9"/>
      <c r="N8" s="9"/>
      <c r="O8" s="9"/>
      <c r="P8" s="9"/>
      <c r="Q8" s="9"/>
      <c r="R8" s="9"/>
      <c r="S8" t="str">
        <f t="shared" si="0"/>
        <v/>
      </c>
    </row>
    <row r="9" spans="1:20" x14ac:dyDescent="0.3">
      <c r="A9" t="s">
        <v>136</v>
      </c>
      <c r="B9" t="s">
        <v>21</v>
      </c>
      <c r="C9" t="s">
        <v>49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131</v>
      </c>
      <c r="K9" s="9"/>
      <c r="L9" s="9"/>
      <c r="M9" s="9"/>
      <c r="N9" s="9"/>
      <c r="O9" s="9"/>
      <c r="P9" s="9"/>
      <c r="Q9" s="9"/>
      <c r="R9" s="9"/>
      <c r="S9" t="str">
        <f t="shared" si="0"/>
        <v/>
      </c>
    </row>
    <row r="10" spans="1:20" x14ac:dyDescent="0.3">
      <c r="A10" s="10" t="s">
        <v>137</v>
      </c>
      <c r="B10" s="10" t="s">
        <v>21</v>
      </c>
      <c r="C10" s="10" t="s">
        <v>49</v>
      </c>
      <c r="D10" s="10">
        <v>14</v>
      </c>
      <c r="E10" s="11">
        <v>46162.013194444444</v>
      </c>
      <c r="F10" s="10" t="s">
        <v>13</v>
      </c>
      <c r="G10" s="10">
        <v>12</v>
      </c>
      <c r="H10" s="10">
        <v>0</v>
      </c>
      <c r="I10" s="10"/>
      <c r="J10" s="10" t="s">
        <v>131</v>
      </c>
      <c r="K10" s="9">
        <v>4</v>
      </c>
      <c r="L10" s="9">
        <v>3</v>
      </c>
      <c r="M10" s="9">
        <v>4</v>
      </c>
      <c r="N10" s="9">
        <v>5</v>
      </c>
      <c r="O10" s="9">
        <v>3</v>
      </c>
      <c r="P10" s="9">
        <v>5</v>
      </c>
      <c r="Q10" s="9">
        <v>3</v>
      </c>
      <c r="R10" s="9">
        <v>3</v>
      </c>
      <c r="S10">
        <f t="shared" si="0"/>
        <v>3.75</v>
      </c>
    </row>
    <row r="11" spans="1:20" x14ac:dyDescent="0.3">
      <c r="A11" t="s">
        <v>138</v>
      </c>
      <c r="B11" t="s">
        <v>21</v>
      </c>
      <c r="C11" t="s">
        <v>49</v>
      </c>
      <c r="D11">
        <v>14</v>
      </c>
      <c r="F11" s="5" t="s">
        <v>71</v>
      </c>
      <c r="G11">
        <v>0</v>
      </c>
      <c r="H11">
        <v>0</v>
      </c>
      <c r="I11" s="6" t="s">
        <v>71</v>
      </c>
      <c r="J11" t="s">
        <v>131</v>
      </c>
      <c r="K11" s="9"/>
      <c r="L11" s="9"/>
      <c r="M11" s="9"/>
      <c r="N11" s="9"/>
      <c r="O11" s="9"/>
      <c r="P11" s="9"/>
      <c r="Q11" s="9"/>
      <c r="R11" s="9"/>
      <c r="S11" t="str">
        <f t="shared" si="0"/>
        <v/>
      </c>
    </row>
    <row r="12" spans="1:20" x14ac:dyDescent="0.3">
      <c r="A12" s="10" t="s">
        <v>139</v>
      </c>
      <c r="B12" s="10" t="s">
        <v>21</v>
      </c>
      <c r="C12" s="10" t="s">
        <v>49</v>
      </c>
      <c r="D12" s="10">
        <v>14</v>
      </c>
      <c r="E12" s="11">
        <v>46149.957638888889</v>
      </c>
      <c r="F12" s="10" t="s">
        <v>13</v>
      </c>
      <c r="G12" s="10">
        <v>16</v>
      </c>
      <c r="H12" s="10">
        <v>0</v>
      </c>
      <c r="I12" s="10"/>
      <c r="J12" s="10" t="s">
        <v>131</v>
      </c>
      <c r="K12" s="9"/>
      <c r="L12" s="9"/>
      <c r="M12" s="9"/>
      <c r="N12" s="9"/>
      <c r="O12" s="9"/>
      <c r="P12" s="9"/>
      <c r="Q12" s="9"/>
      <c r="R12" s="9"/>
      <c r="S12" t="str">
        <f t="shared" si="0"/>
        <v/>
      </c>
    </row>
    <row r="13" spans="1:20" x14ac:dyDescent="0.3">
      <c r="A13" t="s">
        <v>140</v>
      </c>
      <c r="B13" t="s">
        <v>21</v>
      </c>
      <c r="C13" t="s">
        <v>49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131</v>
      </c>
      <c r="K13" s="9"/>
      <c r="L13" s="9"/>
      <c r="M13" s="9"/>
      <c r="N13" s="9"/>
      <c r="O13" s="9"/>
      <c r="P13" s="9"/>
      <c r="Q13" s="9"/>
      <c r="R13" s="9"/>
      <c r="S13" t="str">
        <f t="shared" si="0"/>
        <v/>
      </c>
    </row>
    <row r="14" spans="1:20" x14ac:dyDescent="0.3">
      <c r="A14" s="10" t="s">
        <v>141</v>
      </c>
      <c r="B14" s="10" t="s">
        <v>21</v>
      </c>
      <c r="C14" s="10" t="s">
        <v>49</v>
      </c>
      <c r="D14" s="10">
        <v>15</v>
      </c>
      <c r="E14" s="11">
        <v>46162.022916666669</v>
      </c>
      <c r="F14" s="10" t="s">
        <v>13</v>
      </c>
      <c r="G14" s="10">
        <v>21</v>
      </c>
      <c r="H14" s="10">
        <v>0</v>
      </c>
      <c r="I14" s="10"/>
      <c r="J14" s="10" t="s">
        <v>131</v>
      </c>
      <c r="K14" s="9"/>
      <c r="L14" s="9"/>
      <c r="M14" s="9"/>
      <c r="N14" s="9"/>
      <c r="O14" s="9"/>
      <c r="P14" s="9"/>
      <c r="Q14" s="9"/>
      <c r="R14" s="9"/>
      <c r="S14" t="str">
        <f t="shared" si="0"/>
        <v/>
      </c>
    </row>
    <row r="15" spans="1:20" x14ac:dyDescent="0.3">
      <c r="A15" t="s">
        <v>142</v>
      </c>
      <c r="B15" t="s">
        <v>21</v>
      </c>
      <c r="C15" t="s">
        <v>49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131</v>
      </c>
      <c r="K15" s="9"/>
      <c r="L15" s="9"/>
      <c r="M15" s="9"/>
      <c r="N15" s="9"/>
      <c r="O15" s="9"/>
      <c r="P15" s="9"/>
      <c r="Q15" s="9"/>
      <c r="R15" s="9"/>
      <c r="S15" t="str">
        <f t="shared" si="0"/>
        <v/>
      </c>
    </row>
    <row r="16" spans="1:20" x14ac:dyDescent="0.3">
      <c r="A16" s="10" t="s">
        <v>143</v>
      </c>
      <c r="B16" s="10" t="s">
        <v>101</v>
      </c>
      <c r="C16" s="10" t="s">
        <v>19</v>
      </c>
      <c r="D16" s="10">
        <v>14</v>
      </c>
      <c r="E16" s="11">
        <v>46147.338888888888</v>
      </c>
      <c r="F16" s="10" t="s">
        <v>95</v>
      </c>
      <c r="G16" s="10">
        <v>278</v>
      </c>
      <c r="H16" s="10">
        <v>0</v>
      </c>
      <c r="I16" s="10" t="s">
        <v>144</v>
      </c>
      <c r="J16" s="10" t="s">
        <v>131</v>
      </c>
      <c r="K16" s="9">
        <v>5</v>
      </c>
      <c r="L16" s="9">
        <v>3</v>
      </c>
      <c r="M16" s="9">
        <v>4</v>
      </c>
      <c r="N16" s="9">
        <v>5</v>
      </c>
      <c r="O16" s="9">
        <v>4</v>
      </c>
      <c r="P16" s="9">
        <v>5</v>
      </c>
      <c r="Q16" s="9">
        <v>3</v>
      </c>
      <c r="R16" s="9">
        <v>3</v>
      </c>
      <c r="S16">
        <f t="shared" si="0"/>
        <v>4</v>
      </c>
    </row>
    <row r="17" spans="1:20" x14ac:dyDescent="0.3">
      <c r="A17" t="s">
        <v>145</v>
      </c>
      <c r="B17" t="s">
        <v>101</v>
      </c>
      <c r="C17" t="s">
        <v>19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131</v>
      </c>
      <c r="K17" s="9">
        <v>3</v>
      </c>
      <c r="L17" s="9">
        <v>4</v>
      </c>
      <c r="M17" s="9">
        <v>4</v>
      </c>
      <c r="N17" s="9">
        <v>4</v>
      </c>
      <c r="O17" s="9">
        <v>3</v>
      </c>
      <c r="P17" s="9">
        <v>4</v>
      </c>
      <c r="Q17" s="9">
        <v>2</v>
      </c>
      <c r="R17" s="9">
        <v>4</v>
      </c>
      <c r="S17">
        <f t="shared" si="0"/>
        <v>3.5</v>
      </c>
      <c r="T17" t="s">
        <v>163</v>
      </c>
    </row>
    <row r="18" spans="1:20" x14ac:dyDescent="0.3">
      <c r="A18" s="10" t="s">
        <v>146</v>
      </c>
      <c r="B18" s="10" t="s">
        <v>101</v>
      </c>
      <c r="C18" s="10" t="s">
        <v>49</v>
      </c>
      <c r="D18" s="10">
        <v>14</v>
      </c>
      <c r="E18" s="11">
        <v>46162.020833333336</v>
      </c>
      <c r="F18" s="10" t="s">
        <v>95</v>
      </c>
      <c r="G18" s="10">
        <v>15</v>
      </c>
      <c r="H18" s="10">
        <v>0</v>
      </c>
      <c r="I18" s="10" t="s">
        <v>144</v>
      </c>
      <c r="J18" s="10" t="s">
        <v>131</v>
      </c>
      <c r="K18" s="9">
        <v>5</v>
      </c>
      <c r="L18" s="9">
        <v>4</v>
      </c>
      <c r="M18" s="9">
        <v>4</v>
      </c>
      <c r="N18" s="9">
        <v>5</v>
      </c>
      <c r="O18" s="9">
        <v>4</v>
      </c>
      <c r="P18" s="9">
        <v>5</v>
      </c>
      <c r="Q18" s="9">
        <v>4</v>
      </c>
      <c r="R18" s="9">
        <v>4</v>
      </c>
      <c r="S18">
        <f t="shared" si="0"/>
        <v>4.375</v>
      </c>
    </row>
    <row r="20" spans="1:20" x14ac:dyDescent="0.3">
      <c r="A20" s="10" t="s">
        <v>148</v>
      </c>
      <c r="B20" s="10" t="s">
        <v>11</v>
      </c>
      <c r="C20" s="10" t="s">
        <v>12</v>
      </c>
      <c r="D20" s="10">
        <v>14</v>
      </c>
      <c r="E20" s="11">
        <v>46175.950694444444</v>
      </c>
      <c r="F20" s="10" t="s">
        <v>13</v>
      </c>
      <c r="G20" s="10">
        <v>1</v>
      </c>
      <c r="H20" s="10">
        <v>0</v>
      </c>
      <c r="I20" s="10"/>
      <c r="J20" s="10" t="s">
        <v>131</v>
      </c>
      <c r="K20" s="9">
        <v>3</v>
      </c>
      <c r="L20" s="9">
        <v>4</v>
      </c>
      <c r="M20" s="9">
        <v>4</v>
      </c>
      <c r="N20" s="9">
        <v>4</v>
      </c>
      <c r="O20" s="9">
        <v>2</v>
      </c>
      <c r="P20" s="9">
        <v>3</v>
      </c>
      <c r="Q20" s="9">
        <v>3</v>
      </c>
      <c r="R20" s="9">
        <v>4</v>
      </c>
      <c r="S20">
        <f t="shared" ref="S20:S28" si="1">IFERROR(AVERAGE(K20:R20),"")</f>
        <v>3.375</v>
      </c>
      <c r="T20" t="s">
        <v>157</v>
      </c>
    </row>
    <row r="21" spans="1:20" x14ac:dyDescent="0.3">
      <c r="A21" t="s">
        <v>149</v>
      </c>
      <c r="B21" t="s">
        <v>11</v>
      </c>
      <c r="C21" t="s">
        <v>12</v>
      </c>
      <c r="D21">
        <v>14</v>
      </c>
      <c r="E21" s="2">
        <v>46175.950694444444</v>
      </c>
      <c r="F21" s="3" t="s">
        <v>13</v>
      </c>
      <c r="G21">
        <v>2</v>
      </c>
      <c r="H21">
        <v>0</v>
      </c>
      <c r="J21" t="s">
        <v>131</v>
      </c>
      <c r="K21" s="9">
        <v>3</v>
      </c>
      <c r="L21" s="9">
        <v>4</v>
      </c>
      <c r="M21" s="9">
        <v>4</v>
      </c>
      <c r="N21" s="9">
        <v>4</v>
      </c>
      <c r="O21" s="9">
        <v>3</v>
      </c>
      <c r="P21" s="9">
        <v>3</v>
      </c>
      <c r="Q21" s="9">
        <v>3</v>
      </c>
      <c r="R21" s="9">
        <v>4</v>
      </c>
      <c r="S21">
        <f t="shared" si="1"/>
        <v>3.5</v>
      </c>
    </row>
    <row r="22" spans="1:20" x14ac:dyDescent="0.3">
      <c r="A22" s="10" t="s">
        <v>150</v>
      </c>
      <c r="B22" s="10" t="s">
        <v>21</v>
      </c>
      <c r="C22" s="10" t="s">
        <v>19</v>
      </c>
      <c r="D22" s="10">
        <v>14</v>
      </c>
      <c r="E22" s="11">
        <v>46161.998611111114</v>
      </c>
      <c r="F22" s="10" t="s">
        <v>13</v>
      </c>
      <c r="G22" s="10">
        <v>1</v>
      </c>
      <c r="H22" s="10">
        <v>0</v>
      </c>
      <c r="I22" s="10"/>
      <c r="J22" s="10" t="s">
        <v>131</v>
      </c>
      <c r="K22" s="9">
        <v>2</v>
      </c>
      <c r="L22" s="9">
        <v>4</v>
      </c>
      <c r="M22" s="9">
        <v>4</v>
      </c>
      <c r="N22" s="9">
        <v>4</v>
      </c>
      <c r="O22" s="9">
        <v>5</v>
      </c>
      <c r="P22" s="9">
        <v>2</v>
      </c>
      <c r="Q22" s="9">
        <v>2</v>
      </c>
      <c r="R22" s="9">
        <v>4</v>
      </c>
      <c r="S22">
        <f t="shared" si="1"/>
        <v>3.375</v>
      </c>
      <c r="T22" t="s">
        <v>162</v>
      </c>
    </row>
    <row r="23" spans="1:20" x14ac:dyDescent="0.3">
      <c r="A23" t="s">
        <v>151</v>
      </c>
      <c r="B23" t="s">
        <v>21</v>
      </c>
      <c r="C23" t="s">
        <v>19</v>
      </c>
      <c r="D23">
        <v>14</v>
      </c>
      <c r="E23" s="2">
        <v>46161.998611111114</v>
      </c>
      <c r="F23" s="3" t="s">
        <v>13</v>
      </c>
      <c r="G23">
        <v>3</v>
      </c>
      <c r="H23">
        <v>0</v>
      </c>
      <c r="J23" t="s">
        <v>131</v>
      </c>
      <c r="K23" s="9">
        <v>4</v>
      </c>
      <c r="L23" s="9">
        <v>3</v>
      </c>
      <c r="M23" s="9">
        <v>4</v>
      </c>
      <c r="N23" s="9">
        <v>4</v>
      </c>
      <c r="O23" s="9">
        <v>3</v>
      </c>
      <c r="P23" s="9">
        <v>2</v>
      </c>
      <c r="Q23" s="9">
        <v>2</v>
      </c>
      <c r="R23" s="9">
        <v>4</v>
      </c>
      <c r="S23">
        <f t="shared" si="1"/>
        <v>3.25</v>
      </c>
      <c r="T23" t="s">
        <v>160</v>
      </c>
    </row>
    <row r="24" spans="1:20" x14ac:dyDescent="0.3">
      <c r="A24" s="10" t="s">
        <v>152</v>
      </c>
      <c r="B24" s="10" t="s">
        <v>21</v>
      </c>
      <c r="C24" s="10" t="s">
        <v>19</v>
      </c>
      <c r="D24" s="10">
        <v>14</v>
      </c>
      <c r="E24" s="11">
        <v>46161.998611111114</v>
      </c>
      <c r="F24" s="10" t="s">
        <v>13</v>
      </c>
      <c r="G24" s="10">
        <v>10</v>
      </c>
      <c r="H24" s="10">
        <v>0</v>
      </c>
      <c r="I24" s="10"/>
      <c r="J24" s="10" t="s">
        <v>131</v>
      </c>
      <c r="K24" s="9">
        <v>4</v>
      </c>
      <c r="L24" s="9">
        <v>3</v>
      </c>
      <c r="M24" s="9">
        <v>4</v>
      </c>
      <c r="N24" s="9">
        <v>4</v>
      </c>
      <c r="O24" s="9">
        <v>3</v>
      </c>
      <c r="P24" s="9">
        <v>3</v>
      </c>
      <c r="Q24" s="9">
        <v>4</v>
      </c>
      <c r="R24" s="9">
        <v>3</v>
      </c>
      <c r="S24">
        <f t="shared" si="1"/>
        <v>3.5</v>
      </c>
    </row>
    <row r="25" spans="1:20" x14ac:dyDescent="0.3">
      <c r="A25" t="s">
        <v>153</v>
      </c>
      <c r="B25" t="s">
        <v>21</v>
      </c>
      <c r="C25" t="s">
        <v>19</v>
      </c>
      <c r="D25">
        <v>14</v>
      </c>
      <c r="E25" s="2">
        <v>46161.998611111114</v>
      </c>
      <c r="F25" s="3" t="s">
        <v>13</v>
      </c>
      <c r="G25">
        <v>2</v>
      </c>
      <c r="H25">
        <v>0</v>
      </c>
      <c r="J25" t="s">
        <v>131</v>
      </c>
      <c r="K25" s="9"/>
      <c r="L25" s="9"/>
      <c r="M25" s="9"/>
      <c r="N25" s="9"/>
      <c r="O25" s="9"/>
      <c r="P25" s="9"/>
      <c r="Q25" s="9"/>
      <c r="R25" s="9"/>
      <c r="S25" t="str">
        <f t="shared" si="1"/>
        <v/>
      </c>
    </row>
    <row r="26" spans="1:20" x14ac:dyDescent="0.3">
      <c r="A26" s="10" t="s">
        <v>154</v>
      </c>
      <c r="B26" s="10" t="s">
        <v>21</v>
      </c>
      <c r="C26" s="10" t="s">
        <v>19</v>
      </c>
      <c r="D26" s="10">
        <v>14</v>
      </c>
      <c r="E26" s="11">
        <v>46161.998611111114</v>
      </c>
      <c r="F26" s="10" t="s">
        <v>13</v>
      </c>
      <c r="G26" s="10">
        <v>1</v>
      </c>
      <c r="H26" s="10">
        <v>0</v>
      </c>
      <c r="I26" s="10"/>
      <c r="J26" s="10" t="s">
        <v>131</v>
      </c>
      <c r="K26" s="9">
        <v>3</v>
      </c>
      <c r="L26" s="9">
        <v>5</v>
      </c>
      <c r="M26" s="9">
        <v>4</v>
      </c>
      <c r="N26" s="9">
        <v>4</v>
      </c>
      <c r="O26" s="9">
        <v>5</v>
      </c>
      <c r="P26" s="9">
        <v>3</v>
      </c>
      <c r="Q26" s="9">
        <v>4</v>
      </c>
      <c r="R26" s="9">
        <v>4</v>
      </c>
      <c r="S26">
        <f t="shared" si="1"/>
        <v>4</v>
      </c>
    </row>
    <row r="27" spans="1:20" x14ac:dyDescent="0.3">
      <c r="A27" t="s">
        <v>155</v>
      </c>
      <c r="B27" t="s">
        <v>101</v>
      </c>
      <c r="C27" t="s">
        <v>19</v>
      </c>
      <c r="D27">
        <v>14</v>
      </c>
      <c r="E27" s="2">
        <v>46161.992361111108</v>
      </c>
      <c r="F27" s="3" t="s">
        <v>13</v>
      </c>
      <c r="G27">
        <v>3</v>
      </c>
      <c r="H27">
        <v>0</v>
      </c>
      <c r="J27" t="s">
        <v>131</v>
      </c>
      <c r="K27" s="9">
        <v>3</v>
      </c>
      <c r="L27" s="9">
        <v>4</v>
      </c>
      <c r="M27" s="9">
        <v>4</v>
      </c>
      <c r="N27" s="9">
        <v>4</v>
      </c>
      <c r="O27" s="9">
        <v>3</v>
      </c>
      <c r="P27" s="9">
        <v>3</v>
      </c>
      <c r="Q27" s="9">
        <v>2</v>
      </c>
      <c r="R27" s="9">
        <v>4</v>
      </c>
      <c r="S27">
        <f t="shared" si="1"/>
        <v>3.375</v>
      </c>
      <c r="T27" t="s">
        <v>159</v>
      </c>
    </row>
    <row r="28" spans="1:20" x14ac:dyDescent="0.3">
      <c r="A28" s="10" t="s">
        <v>156</v>
      </c>
      <c r="B28" s="10" t="s">
        <v>101</v>
      </c>
      <c r="C28" s="10" t="s">
        <v>19</v>
      </c>
      <c r="D28" s="10">
        <v>14</v>
      </c>
      <c r="E28" s="11">
        <v>46161.993750000001</v>
      </c>
      <c r="F28" s="10" t="s">
        <v>13</v>
      </c>
      <c r="G28" s="10">
        <v>9</v>
      </c>
      <c r="H28" s="10">
        <v>0</v>
      </c>
      <c r="I28" s="10"/>
      <c r="J28" s="10" t="s">
        <v>131</v>
      </c>
      <c r="K28" s="9">
        <v>4</v>
      </c>
      <c r="L28" s="9">
        <v>4</v>
      </c>
      <c r="M28" s="9">
        <v>4</v>
      </c>
      <c r="N28" s="9">
        <v>4</v>
      </c>
      <c r="O28" s="9">
        <v>3</v>
      </c>
      <c r="P28" s="9">
        <v>3</v>
      </c>
      <c r="Q28" s="9">
        <v>2</v>
      </c>
      <c r="R28" s="9">
        <v>3</v>
      </c>
      <c r="S28">
        <f t="shared" si="1"/>
        <v>3.375</v>
      </c>
      <c r="T28" t="s">
        <v>158</v>
      </c>
    </row>
    <row r="29" spans="1:20" x14ac:dyDescent="0.3">
      <c r="A29" s="14" t="s">
        <v>147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</sheetData>
  <mergeCells count="3">
    <mergeCell ref="A1:T1"/>
    <mergeCell ref="A2:T2"/>
    <mergeCell ref="A29:T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2026-06-11T07:54:12Z</dcterms:modified>
</cp:coreProperties>
</file>