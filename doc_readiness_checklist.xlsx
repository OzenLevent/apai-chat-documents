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AQCWT\OpenCode_Doc\APAI_Chat\"/>
    </mc:Choice>
  </mc:AlternateContent>
  <xr:revisionPtr revIDLastSave="0" documentId="13_ncr:1_{896CCC29-AD64-4393-B000-1A9F1077B684}" xr6:coauthVersionLast="47" xr6:coauthVersionMax="47" xr10:uidLastSave="{00000000-0000-0000-0000-000000000000}"/>
  <bookViews>
    <workbookView xWindow="-108" yWindow="-108" windowWidth="23256" windowHeight="12456" activeTab="1" xr2:uid="{BE8B64C7-7DD3-42E9-8432-DA4C4DC91B80}"/>
  </bookViews>
  <sheets>
    <sheet name="All Documents – Status" sheetId="1" r:id="rId1"/>
    <sheet name="Readiness Check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8" i="2" l="1"/>
  <c r="S27" i="2"/>
  <c r="S26" i="2"/>
  <c r="S25" i="2"/>
  <c r="S24" i="2"/>
  <c r="S23" i="2"/>
  <c r="S22" i="2"/>
  <c r="S21" i="2"/>
  <c r="S20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</calcChain>
</file>

<file path=xl/sharedStrings.xml><?xml version="1.0" encoding="utf-8"?>
<sst xmlns="http://schemas.openxmlformats.org/spreadsheetml/2006/main" count="492" uniqueCount="158">
  <si>
    <t>ID</t>
  </si>
  <si>
    <t>Document Name</t>
  </si>
  <si>
    <t>Product</t>
  </si>
  <si>
    <t>Doc Type</t>
  </si>
  <si>
    <t>Version</t>
  </si>
  <si>
    <t>Upload Date</t>
  </si>
  <si>
    <t>Status</t>
  </si>
  <si>
    <t>Chunks</t>
  </si>
  <si>
    <t>Failed Images</t>
  </si>
  <si>
    <t>Auto Flag</t>
  </si>
  <si>
    <t>Apogee-Impose-Trick_Automatic-Page-Numbering</t>
  </si>
  <si>
    <t>APOGEE</t>
  </si>
  <si>
    <t>TIPS_AND_TRICKS</t>
  </si>
  <si>
    <t>COMPLETED</t>
  </si>
  <si>
    <t>★ 124</t>
  </si>
  <si>
    <t>Apogee-Impose-Trick_Changing-the-Apogee-Impose-View</t>
  </si>
  <si>
    <t>Apogee-Impose-Trick_Folding-Direction-Arrow</t>
  </si>
  <si>
    <t>Apogee-InkDrive-Trick_Accurate-CIP3-Presets</t>
  </si>
  <si>
    <t>testfile</t>
  </si>
  <si>
    <t>OTHER</t>
  </si>
  <si>
    <t>Apogee_Prepress_OLH_14.0.2_en-US</t>
  </si>
  <si>
    <t>PREPRESS</t>
  </si>
  <si>
    <t>★ 39</t>
  </si>
  <si>
    <t>Apogee-Proofing-Trick_Customized-White-Point-with-Absolute-Colorimetric-Proofing</t>
  </si>
  <si>
    <t>Apogee-Proofing-Trick_GDIProofer-and-Split4ProofApogee</t>
  </si>
  <si>
    <t>Apogee-Tips_Apogee-Prepress-with-Packaging-Pack</t>
  </si>
  <si>
    <t>Apogee-Tips_JDF-Integration-Explained-in-a-Nutshell</t>
  </si>
  <si>
    <t>Apogee-Tips_Packaging-Arbitrary-Rotation</t>
  </si>
  <si>
    <t>Apogee-Tips_QuickProof-from-the-Raster-Preview</t>
  </si>
  <si>
    <t>Apogee-Tips_Saving-Money-with-SolidTune</t>
  </si>
  <si>
    <t>Apogee-Tips_Versioning</t>
  </si>
  <si>
    <t>Apogee-Tips_WebApproval-A-Fully-Integrated-Softproof-Solution</t>
  </si>
  <si>
    <t>Apogee-Trick_Apogee-DQS</t>
  </si>
  <si>
    <t>★ 76</t>
  </si>
  <si>
    <t>Apogee-Trick_Automate-Job-Creation-with-ApoXML</t>
  </si>
  <si>
    <t>Apogee-Trick_Auto-Route-PDF-Files-with-Automate-TP</t>
  </si>
  <si>
    <t>Apogee-Trick_Client-Customization</t>
  </si>
  <si>
    <t>Apogee-Trick_Customized-White-Point-with-Absolute-Colorimetric-Proofing</t>
  </si>
  <si>
    <t>Apogee-Trick_Exporting-of-PDFs</t>
  </si>
  <si>
    <t>Apogee-Trick_Offline-Jobs</t>
  </si>
  <si>
    <t>Apogee-Trick_Packaging-and-Automation</t>
  </si>
  <si>
    <t>The Essential Role of Virus Scanning and Tuning</t>
  </si>
  <si>
    <t>APAI Chat - About This Assistant</t>
  </si>
  <si>
    <t>REFERENCE_GUIDE</t>
  </si>
  <si>
    <t>Apogee Prepress_QMS_OLH</t>
  </si>
  <si>
    <t>★ 43</t>
  </si>
  <si>
    <t>Apogee_Impose_RG_14.0.1_en-US</t>
  </si>
  <si>
    <t>★ 62</t>
  </si>
  <si>
    <t>ApogeeColor InkLimitation target</t>
  </si>
  <si>
    <t>TUTORIAL</t>
  </si>
  <si>
    <t>Basic Administrative Tasks</t>
  </si>
  <si>
    <t>★ 98</t>
  </si>
  <si>
    <t>Creating and Editing Job Tickets</t>
  </si>
  <si>
    <t>Creating and Managing Device Borders</t>
  </si>
  <si>
    <t>Creating and Managing Linearization, Calibration and Simulation Curves</t>
  </si>
  <si>
    <t>Creating and managing Web Growth Profiles</t>
  </si>
  <si>
    <t>Creating Hot Tickets</t>
  </si>
  <si>
    <t>Editing Hot Tickets</t>
  </si>
  <si>
    <t>Ink Limit target</t>
  </si>
  <si>
    <t>Job Housekeeping</t>
  </si>
  <si>
    <t>Lesson 26 - Number-Up Cut and Assemble</t>
  </si>
  <si>
    <t>★ 95</t>
  </si>
  <si>
    <t>Lesson 27 - Mixed Assemblies with Auto Impose</t>
  </si>
  <si>
    <t>Proofing-Contract-Proofing</t>
  </si>
  <si>
    <t>★ 44</t>
  </si>
  <si>
    <t>QMS-Check-and-Double-Check</t>
  </si>
  <si>
    <t>★ 45</t>
  </si>
  <si>
    <t>QMS-History-Tracking</t>
  </si>
  <si>
    <t>QMS-Improve-Quality</t>
  </si>
  <si>
    <t>Quick Tour</t>
  </si>
  <si>
    <t>TN Apogee Prepress 14 - Custom Media advanced mode</t>
  </si>
  <si>
    <t>FAILED</t>
  </si>
  <si>
    <t>FAILED – re-upload needed</t>
  </si>
  <si>
    <t>★ 53</t>
  </si>
  <si>
    <t>TN Apogee Prepress 14 - Custom Media Simple mode</t>
  </si>
  <si>
    <t>TN Apogee Prepress 14 - Measurement devices</t>
  </si>
  <si>
    <t>TN Apogee Prepress 14 - Profiling for Proofers</t>
  </si>
  <si>
    <t>TN Apogee Prepress 14 - Proof validation and certification</t>
  </si>
  <si>
    <t>TN Apogee Prepress 14 - settings and troubleshooting</t>
  </si>
  <si>
    <t>TN Apogee Prepress v14 - Calibration follow up</t>
  </si>
  <si>
    <t>TN Apogee Prepress v14 - Hardcopy Proofing Toolkit</t>
  </si>
  <si>
    <t>TN Apogee Prepress v14 - Standardization to ISO</t>
  </si>
  <si>
    <t>Working with Filters</t>
  </si>
  <si>
    <t>Working with Hot Tickets</t>
  </si>
  <si>
    <t>Working with Job Tickets</t>
  </si>
  <si>
    <t>Working with Messages</t>
  </si>
  <si>
    <t>Working with Split for Proof</t>
  </si>
  <si>
    <t>ApogeePrepress_ImpTut_14.0_en-US</t>
  </si>
  <si>
    <t>Advanced Job Management</t>
  </si>
  <si>
    <t>★ 117</t>
  </si>
  <si>
    <t>Apogee Preflight</t>
  </si>
  <si>
    <t>Exporting Documents</t>
  </si>
  <si>
    <t>Interactive Editing</t>
  </si>
  <si>
    <t>Separation Handling</t>
  </si>
  <si>
    <t>Trapping</t>
  </si>
  <si>
    <t>PARTIALLY_COMPLETED</t>
  </si>
  <si>
    <t>Partial – check failed images</t>
  </si>
  <si>
    <t>Versioning - Basic</t>
  </si>
  <si>
    <t>PrintSphere_OLH_en-US_draft01</t>
  </si>
  <si>
    <t>★ 48</t>
  </si>
  <si>
    <t>ProductionCenter_UG_14.0_en-US</t>
  </si>
  <si>
    <t>PRODUCTION_CENTER</t>
  </si>
  <si>
    <t>★ 38</t>
  </si>
  <si>
    <t>ProductionCenter-Tips_Displaying-MISID-in-WebApproval</t>
  </si>
  <si>
    <t>ProductionCenter-Tips_ECO3-Production-Dashboard</t>
  </si>
  <si>
    <t>ProductionCenter-Tips_Enhanced-Collaboration</t>
  </si>
  <si>
    <t>ProductionCenter-Tips_Message-Configuration</t>
  </si>
  <si>
    <t>ProductionCenter-Tips_Passkeys</t>
  </si>
  <si>
    <t>★ 67</t>
  </si>
  <si>
    <t>ProductionCenter-Tips_Supplementary-Files</t>
  </si>
  <si>
    <t>Approve and reject pages</t>
  </si>
  <si>
    <t>★ 116</t>
  </si>
  <si>
    <t>Print-Buyer Company - Managing Company &amp; Users</t>
  </si>
  <si>
    <t>Printer Company - Managing Companies &amp; Users</t>
  </si>
  <si>
    <t>Upload and assign files</t>
  </si>
  <si>
    <t>Working with WebFlow</t>
  </si>
  <si>
    <t>APAI Chat – Phase 1: Documentation Readiness Checklist (Section 5)</t>
  </si>
  <si>
    <t>Scoring: 1=Unusable  2=Major rework  3=Usable with gaps  4=Good  5=Excellent (RAG-ready)     |    AUTO = populated from API     |    ★ = selected sample</t>
  </si>
  <si>
    <t>Ingestion Flag</t>
  </si>
  <si>
    <t>Sample?</t>
  </si>
  <si>
    <t>1. Structural Clarity</t>
  </si>
  <si>
    <t>2. Self-Containment</t>
  </si>
  <si>
    <t>3. Explicit Context</t>
  </si>
  <si>
    <t>4. Term Consistency</t>
  </si>
  <si>
    <t>5. Text/Image Ratio</t>
  </si>
  <si>
    <t>6. Procedure Clarity</t>
  </si>
  <si>
    <t>7. Error Proximity</t>
  </si>
  <si>
    <t>8. Chunk-Friendliness</t>
  </si>
  <si>
    <t>Avg Score</t>
  </si>
  <si>
    <t>Priority Action</t>
  </si>
  <si>
    <t>Tips &amp; Tricks – Impose: Apogee-Impose-Trick_Automatic-Page-Numbering</t>
  </si>
  <si>
    <t>Yes</t>
  </si>
  <si>
    <t>Tips &amp; Tricks – Prepress: Apogee-Trick_Apogee-DQS</t>
  </si>
  <si>
    <t>Online Help – Prepress: Apogee_Prepress_OLH_14.0.2_en-US</t>
  </si>
  <si>
    <t>Reference Guide – Impose: Apogee_Impose_RG_14.0.1_en-US</t>
  </si>
  <si>
    <t>Reference Guide – QMS: Apogee Prepress_QMS_OLH</t>
  </si>
  <si>
    <t>Tutorial – Prepress v14: Basic Administrative Tasks</t>
  </si>
  <si>
    <t>Tutorial – Impose v14: Lesson 26 - Number-Up Cut and Assemble</t>
  </si>
  <si>
    <t>Technical Note – Proofing: TN Apogee Prepress 14 - Custom Media advanced mode</t>
  </si>
  <si>
    <t>Tutorial – QMS: QMS-Check-and-Double-Check</t>
  </si>
  <si>
    <t>Tutorial – Proofing: Proofing-Contract-Proofing</t>
  </si>
  <si>
    <t>Tutorial – Prepress v15: Advanced Job Management</t>
  </si>
  <si>
    <t>Online Help – PrintSphere: PrintSphere_OLH_en-US_draft01</t>
  </si>
  <si>
    <t>User Guide – ProductionCenter: ProductionCenter_UG_14.0_en-US</t>
  </si>
  <si>
    <t>Partial – check images</t>
  </si>
  <si>
    <t>Tips &amp; Tricks – ProductionCenter: ProductionCenter-Tips_Passkeys</t>
  </si>
  <si>
    <t>Tutorial – ProductionCenter: Approve and reject pages</t>
  </si>
  <si>
    <t>⚠ Documents scoring ≤2 on any criterion need remediation before launch (per Section 5 of AI Testing &amp; Evaluation Plan v1.4)</t>
  </si>
  <si>
    <t>Tips &amp; Tricks – Impose (Folding): Apogee-Impose-Trick_Folding-Direction-Arrow</t>
  </si>
  <si>
    <t>Tips &amp; Tricks – InkDrive: Apogee-InkDrive-Trick_Accurate-CIP3-Presets</t>
  </si>
  <si>
    <t>Tips &amp; Tricks – Proofing: Apogee-Proofing-Trick_GDIProofer-and-Split4ProofApogee</t>
  </si>
  <si>
    <t>Tips &amp; Tricks – Packaging: Apogee-Tips_Apogee-Prepress-with-Packaging-Pack</t>
  </si>
  <si>
    <t>Tips &amp; Tricks – WebApproval: Apogee-Tips_WebApproval-A-Fully-Integrated-Softproof-Solution</t>
  </si>
  <si>
    <t>Tips &amp; Tricks – Automation: Apogee-Trick_Auto-Route-PDF-Files-with-Automate-TP</t>
  </si>
  <si>
    <t>Tips &amp; Tricks – General: The Essential Role of Virus Scanning and Tuning</t>
  </si>
  <si>
    <t>Tips &amp; Tricks – ProductionCenter Dashboard: ProductionCenter-Tips_ECO3-Production-Dashboard</t>
  </si>
  <si>
    <t>Tips &amp; Tricks – ProductionCenter Collaboration: ProductionCenter-Tips_Enhanced-Collaboration</t>
  </si>
  <si>
    <t>Criterion 5 (Text/Image Ratio=2): Key fold direction information relies heavily on images; add text description of arrow direction.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</si>
</sst>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11"/>
      <color rgb="FF1F4E79"/>
      <name val="Aptos Narrow"/>
      <family val="2"/>
      <scheme val="minor"/>
    </font>
    <font>
      <b/>
      <sz val="11"/>
      <color rgb="FFFFC7CE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22" fontId="0" fillId="0" borderId="0" xfId="0" applyNumberFormat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22" fontId="0" fillId="10" borderId="0" xfId="0" applyNumberForma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94EA-D0C4-420F-ADF2-2218BCBD16B2}">
  <dimension ref="A1:J80"/>
  <sheetViews>
    <sheetView workbookViewId="0">
      <pane ySplit="1" topLeftCell="A2" activePane="bottomLeft" state="frozenSplit"/>
      <selection pane="bottomLeft" activeCell="B76" sqref="B76"/>
    </sheetView>
  </sheetViews>
  <sheetFormatPr defaultRowHeight="14.4" x14ac:dyDescent="0.3"/>
  <cols>
    <col min="1" max="1" width="6.109375" bestFit="1" customWidth="1"/>
    <col min="2" max="2" width="70.44140625" bestFit="1" customWidth="1"/>
    <col min="3" max="3" width="19.77734375" bestFit="1" customWidth="1"/>
    <col min="4" max="4" width="16.88671875" bestFit="1" customWidth="1"/>
    <col min="5" max="5" width="7.21875" bestFit="1" customWidth="1"/>
    <col min="6" max="6" width="15.33203125" bestFit="1" customWidth="1"/>
    <col min="7" max="7" width="20.6640625" bestFit="1" customWidth="1"/>
    <col min="8" max="8" width="7.109375" bestFit="1" customWidth="1"/>
    <col min="9" max="9" width="12.5546875" bestFit="1" customWidth="1"/>
    <col min="10" max="10" width="23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" t="s">
        <v>14</v>
      </c>
      <c r="B2" t="s">
        <v>10</v>
      </c>
      <c r="C2" t="s">
        <v>11</v>
      </c>
      <c r="D2" t="s">
        <v>12</v>
      </c>
      <c r="E2">
        <v>14</v>
      </c>
      <c r="F2" s="2">
        <v>46175.950694444444</v>
      </c>
      <c r="G2" s="3" t="s">
        <v>13</v>
      </c>
      <c r="H2">
        <v>2</v>
      </c>
      <c r="I2">
        <v>0</v>
      </c>
    </row>
    <row r="3" spans="1:10" x14ac:dyDescent="0.3">
      <c r="A3">
        <v>125</v>
      </c>
      <c r="B3" t="s">
        <v>15</v>
      </c>
      <c r="C3" t="s">
        <v>11</v>
      </c>
      <c r="D3" t="s">
        <v>12</v>
      </c>
      <c r="E3">
        <v>14</v>
      </c>
      <c r="F3" s="2">
        <v>46175.950694444444</v>
      </c>
      <c r="G3" s="3" t="s">
        <v>13</v>
      </c>
      <c r="H3">
        <v>2</v>
      </c>
      <c r="I3">
        <v>0</v>
      </c>
    </row>
    <row r="4" spans="1:10" x14ac:dyDescent="0.3">
      <c r="A4">
        <v>126</v>
      </c>
      <c r="B4" t="s">
        <v>16</v>
      </c>
      <c r="C4" t="s">
        <v>11</v>
      </c>
      <c r="D4" t="s">
        <v>12</v>
      </c>
      <c r="E4">
        <v>14</v>
      </c>
      <c r="F4" s="2">
        <v>46175.950694444444</v>
      </c>
      <c r="G4" s="3" t="s">
        <v>13</v>
      </c>
      <c r="H4">
        <v>1</v>
      </c>
      <c r="I4">
        <v>0</v>
      </c>
    </row>
    <row r="5" spans="1:10" x14ac:dyDescent="0.3">
      <c r="A5">
        <v>127</v>
      </c>
      <c r="B5" t="s">
        <v>17</v>
      </c>
      <c r="C5" t="s">
        <v>11</v>
      </c>
      <c r="D5" t="s">
        <v>12</v>
      </c>
      <c r="E5">
        <v>14</v>
      </c>
      <c r="F5" s="2">
        <v>46175.950694444444</v>
      </c>
      <c r="G5" s="3" t="s">
        <v>13</v>
      </c>
      <c r="H5">
        <v>2</v>
      </c>
      <c r="I5">
        <v>0</v>
      </c>
    </row>
    <row r="6" spans="1:10" x14ac:dyDescent="0.3">
      <c r="A6">
        <v>36</v>
      </c>
      <c r="B6" t="s">
        <v>18</v>
      </c>
      <c r="C6" t="s">
        <v>19</v>
      </c>
      <c r="D6" t="s">
        <v>19</v>
      </c>
      <c r="E6">
        <v>0.1</v>
      </c>
      <c r="F6" s="2">
        <v>46142.699305555558</v>
      </c>
      <c r="G6" s="3" t="s">
        <v>13</v>
      </c>
      <c r="H6">
        <v>1</v>
      </c>
      <c r="I6">
        <v>0</v>
      </c>
    </row>
    <row r="7" spans="1:10" x14ac:dyDescent="0.3">
      <c r="A7" s="4" t="s">
        <v>22</v>
      </c>
      <c r="B7" t="s">
        <v>20</v>
      </c>
      <c r="C7" t="s">
        <v>21</v>
      </c>
      <c r="D7" t="s">
        <v>19</v>
      </c>
      <c r="E7">
        <v>14</v>
      </c>
      <c r="F7" s="2">
        <v>46147.351388888892</v>
      </c>
      <c r="G7" s="3" t="s">
        <v>13</v>
      </c>
      <c r="H7">
        <v>1342</v>
      </c>
      <c r="I7">
        <v>0</v>
      </c>
    </row>
    <row r="8" spans="1:10" x14ac:dyDescent="0.3">
      <c r="A8">
        <v>85</v>
      </c>
      <c r="B8" t="s">
        <v>23</v>
      </c>
      <c r="C8" t="s">
        <v>21</v>
      </c>
      <c r="D8" t="s">
        <v>19</v>
      </c>
      <c r="E8">
        <v>14</v>
      </c>
      <c r="F8" s="2">
        <v>46161.998611111114</v>
      </c>
      <c r="G8" s="3" t="s">
        <v>13</v>
      </c>
      <c r="H8">
        <v>2</v>
      </c>
      <c r="I8">
        <v>0</v>
      </c>
    </row>
    <row r="9" spans="1:10" x14ac:dyDescent="0.3">
      <c r="A9">
        <v>86</v>
      </c>
      <c r="B9" t="s">
        <v>24</v>
      </c>
      <c r="C9" t="s">
        <v>21</v>
      </c>
      <c r="D9" t="s">
        <v>19</v>
      </c>
      <c r="E9">
        <v>14</v>
      </c>
      <c r="F9" s="2">
        <v>46161.998611111114</v>
      </c>
      <c r="G9" s="3" t="s">
        <v>13</v>
      </c>
      <c r="H9">
        <v>1</v>
      </c>
      <c r="I9">
        <v>0</v>
      </c>
    </row>
    <row r="10" spans="1:10" x14ac:dyDescent="0.3">
      <c r="A10">
        <v>87</v>
      </c>
      <c r="B10" t="s">
        <v>25</v>
      </c>
      <c r="C10" t="s">
        <v>21</v>
      </c>
      <c r="D10" t="s">
        <v>19</v>
      </c>
      <c r="E10">
        <v>14</v>
      </c>
      <c r="F10" s="2">
        <v>46161.998611111114</v>
      </c>
      <c r="G10" s="3" t="s">
        <v>13</v>
      </c>
      <c r="H10">
        <v>3</v>
      </c>
      <c r="I10">
        <v>0</v>
      </c>
    </row>
    <row r="11" spans="1:10" x14ac:dyDescent="0.3">
      <c r="A11">
        <v>88</v>
      </c>
      <c r="B11" t="s">
        <v>26</v>
      </c>
      <c r="C11" t="s">
        <v>21</v>
      </c>
      <c r="D11" t="s">
        <v>19</v>
      </c>
      <c r="E11">
        <v>14</v>
      </c>
      <c r="F11" s="2">
        <v>46161.998611111114</v>
      </c>
      <c r="G11" s="3" t="s">
        <v>13</v>
      </c>
      <c r="H11">
        <v>3</v>
      </c>
      <c r="I11">
        <v>0</v>
      </c>
    </row>
    <row r="12" spans="1:10" x14ac:dyDescent="0.3">
      <c r="A12">
        <v>89</v>
      </c>
      <c r="B12" t="s">
        <v>27</v>
      </c>
      <c r="C12" t="s">
        <v>21</v>
      </c>
      <c r="D12" t="s">
        <v>19</v>
      </c>
      <c r="E12">
        <v>14</v>
      </c>
      <c r="F12" s="2">
        <v>46161.998611111114</v>
      </c>
      <c r="G12" s="3" t="s">
        <v>13</v>
      </c>
      <c r="H12">
        <v>5</v>
      </c>
      <c r="I12">
        <v>0</v>
      </c>
    </row>
    <row r="13" spans="1:10" x14ac:dyDescent="0.3">
      <c r="A13">
        <v>90</v>
      </c>
      <c r="B13" t="s">
        <v>28</v>
      </c>
      <c r="C13" t="s">
        <v>21</v>
      </c>
      <c r="D13" t="s">
        <v>19</v>
      </c>
      <c r="E13">
        <v>14</v>
      </c>
      <c r="F13" s="2">
        <v>46161.998611111114</v>
      </c>
      <c r="G13" s="3" t="s">
        <v>13</v>
      </c>
      <c r="H13">
        <v>7</v>
      </c>
      <c r="I13">
        <v>0</v>
      </c>
    </row>
    <row r="14" spans="1:10" x14ac:dyDescent="0.3">
      <c r="A14">
        <v>91</v>
      </c>
      <c r="B14" t="s">
        <v>29</v>
      </c>
      <c r="C14" t="s">
        <v>21</v>
      </c>
      <c r="D14" t="s">
        <v>19</v>
      </c>
      <c r="E14">
        <v>14</v>
      </c>
      <c r="F14" s="2">
        <v>46161.998611111114</v>
      </c>
      <c r="G14" s="3" t="s">
        <v>13</v>
      </c>
      <c r="H14">
        <v>5</v>
      </c>
      <c r="I14">
        <v>0</v>
      </c>
    </row>
    <row r="15" spans="1:10" x14ac:dyDescent="0.3">
      <c r="A15">
        <v>92</v>
      </c>
      <c r="B15" t="s">
        <v>30</v>
      </c>
      <c r="C15" t="s">
        <v>21</v>
      </c>
      <c r="D15" t="s">
        <v>19</v>
      </c>
      <c r="E15">
        <v>14</v>
      </c>
      <c r="F15" s="2">
        <v>46161.998611111114</v>
      </c>
      <c r="G15" s="3" t="s">
        <v>13</v>
      </c>
      <c r="H15">
        <v>6</v>
      </c>
      <c r="I15">
        <v>0</v>
      </c>
    </row>
    <row r="16" spans="1:10" x14ac:dyDescent="0.3">
      <c r="A16">
        <v>75</v>
      </c>
      <c r="B16" t="s">
        <v>31</v>
      </c>
      <c r="C16" t="s">
        <v>21</v>
      </c>
      <c r="D16" t="s">
        <v>19</v>
      </c>
      <c r="E16">
        <v>14</v>
      </c>
      <c r="F16" s="2">
        <v>46161.998611111114</v>
      </c>
      <c r="G16" s="3" t="s">
        <v>13</v>
      </c>
      <c r="H16">
        <v>10</v>
      </c>
      <c r="I16">
        <v>0</v>
      </c>
    </row>
    <row r="17" spans="1:9" x14ac:dyDescent="0.3">
      <c r="A17" s="4" t="s">
        <v>33</v>
      </c>
      <c r="B17" t="s">
        <v>32</v>
      </c>
      <c r="C17" t="s">
        <v>21</v>
      </c>
      <c r="D17" t="s">
        <v>19</v>
      </c>
      <c r="E17">
        <v>14</v>
      </c>
      <c r="F17" s="2">
        <v>46161.998611111114</v>
      </c>
      <c r="G17" s="3" t="s">
        <v>13</v>
      </c>
      <c r="H17">
        <v>1</v>
      </c>
      <c r="I17">
        <v>0</v>
      </c>
    </row>
    <row r="18" spans="1:9" x14ac:dyDescent="0.3">
      <c r="A18">
        <v>77</v>
      </c>
      <c r="B18" t="s">
        <v>34</v>
      </c>
      <c r="C18" t="s">
        <v>21</v>
      </c>
      <c r="D18" t="s">
        <v>19</v>
      </c>
      <c r="E18">
        <v>14</v>
      </c>
      <c r="F18" s="2">
        <v>46161.998611111114</v>
      </c>
      <c r="G18" s="3" t="s">
        <v>13</v>
      </c>
      <c r="H18">
        <v>2</v>
      </c>
      <c r="I18">
        <v>0</v>
      </c>
    </row>
    <row r="19" spans="1:9" x14ac:dyDescent="0.3">
      <c r="A19">
        <v>78</v>
      </c>
      <c r="B19" t="s">
        <v>35</v>
      </c>
      <c r="C19" t="s">
        <v>21</v>
      </c>
      <c r="D19" t="s">
        <v>19</v>
      </c>
      <c r="E19">
        <v>14</v>
      </c>
      <c r="F19" s="2">
        <v>46161.998611111114</v>
      </c>
      <c r="G19" s="3" t="s">
        <v>13</v>
      </c>
      <c r="H19">
        <v>2</v>
      </c>
      <c r="I19">
        <v>0</v>
      </c>
    </row>
    <row r="20" spans="1:9" x14ac:dyDescent="0.3">
      <c r="A20">
        <v>79</v>
      </c>
      <c r="B20" t="s">
        <v>36</v>
      </c>
      <c r="C20" t="s">
        <v>21</v>
      </c>
      <c r="D20" t="s">
        <v>19</v>
      </c>
      <c r="E20">
        <v>14</v>
      </c>
      <c r="F20" s="2">
        <v>46161.998611111114</v>
      </c>
      <c r="G20" s="3" t="s">
        <v>13</v>
      </c>
      <c r="H20">
        <v>2</v>
      </c>
      <c r="I20">
        <v>0</v>
      </c>
    </row>
    <row r="21" spans="1:9" x14ac:dyDescent="0.3">
      <c r="A21">
        <v>80</v>
      </c>
      <c r="B21" t="s">
        <v>37</v>
      </c>
      <c r="C21" t="s">
        <v>21</v>
      </c>
      <c r="D21" t="s">
        <v>19</v>
      </c>
      <c r="E21">
        <v>14</v>
      </c>
      <c r="F21" s="2">
        <v>46161.998611111114</v>
      </c>
      <c r="G21" s="3" t="s">
        <v>13</v>
      </c>
      <c r="H21">
        <v>2</v>
      </c>
      <c r="I21">
        <v>0</v>
      </c>
    </row>
    <row r="22" spans="1:9" x14ac:dyDescent="0.3">
      <c r="A22">
        <v>81</v>
      </c>
      <c r="B22" t="s">
        <v>38</v>
      </c>
      <c r="C22" t="s">
        <v>21</v>
      </c>
      <c r="D22" t="s">
        <v>19</v>
      </c>
      <c r="E22">
        <v>14</v>
      </c>
      <c r="F22" s="2">
        <v>46161.998611111114</v>
      </c>
      <c r="G22" s="3" t="s">
        <v>13</v>
      </c>
      <c r="H22">
        <v>2</v>
      </c>
      <c r="I22">
        <v>0</v>
      </c>
    </row>
    <row r="23" spans="1:9" x14ac:dyDescent="0.3">
      <c r="A23">
        <v>82</v>
      </c>
      <c r="B23" t="s">
        <v>39</v>
      </c>
      <c r="C23" t="s">
        <v>21</v>
      </c>
      <c r="D23" t="s">
        <v>19</v>
      </c>
      <c r="E23">
        <v>14</v>
      </c>
      <c r="F23" s="2">
        <v>46161.998611111114</v>
      </c>
      <c r="G23" s="3" t="s">
        <v>13</v>
      </c>
      <c r="H23">
        <v>2</v>
      </c>
      <c r="I23">
        <v>0</v>
      </c>
    </row>
    <row r="24" spans="1:9" x14ac:dyDescent="0.3">
      <c r="A24">
        <v>83</v>
      </c>
      <c r="B24" t="s">
        <v>40</v>
      </c>
      <c r="C24" t="s">
        <v>21</v>
      </c>
      <c r="D24" t="s">
        <v>19</v>
      </c>
      <c r="E24">
        <v>14</v>
      </c>
      <c r="F24" s="2">
        <v>46161.998611111114</v>
      </c>
      <c r="G24" s="3" t="s">
        <v>13</v>
      </c>
      <c r="H24">
        <v>2</v>
      </c>
      <c r="I24">
        <v>0</v>
      </c>
    </row>
    <row r="25" spans="1:9" x14ac:dyDescent="0.3">
      <c r="A25">
        <v>84</v>
      </c>
      <c r="B25" t="s">
        <v>41</v>
      </c>
      <c r="C25" t="s">
        <v>21</v>
      </c>
      <c r="D25" t="s">
        <v>19</v>
      </c>
      <c r="E25">
        <v>14</v>
      </c>
      <c r="F25" s="2">
        <v>46161.998611111114</v>
      </c>
      <c r="G25" s="3" t="s">
        <v>13</v>
      </c>
      <c r="H25">
        <v>1</v>
      </c>
      <c r="I25">
        <v>0</v>
      </c>
    </row>
    <row r="26" spans="1:9" x14ac:dyDescent="0.3">
      <c r="A26">
        <v>27</v>
      </c>
      <c r="B26" t="s">
        <v>42</v>
      </c>
      <c r="C26" t="s">
        <v>21</v>
      </c>
      <c r="D26" t="s">
        <v>43</v>
      </c>
      <c r="F26" s="2">
        <v>46141.494444444441</v>
      </c>
      <c r="G26" s="3" t="s">
        <v>13</v>
      </c>
      <c r="H26">
        <v>2</v>
      </c>
      <c r="I26">
        <v>0</v>
      </c>
    </row>
    <row r="27" spans="1:9" x14ac:dyDescent="0.3">
      <c r="A27" s="4" t="s">
        <v>45</v>
      </c>
      <c r="B27" t="s">
        <v>44</v>
      </c>
      <c r="C27" t="s">
        <v>21</v>
      </c>
      <c r="D27" t="s">
        <v>43</v>
      </c>
      <c r="E27">
        <v>14</v>
      </c>
      <c r="F27" s="2">
        <v>46149.958333333336</v>
      </c>
      <c r="G27" s="3" t="s">
        <v>13</v>
      </c>
      <c r="H27">
        <v>142</v>
      </c>
      <c r="I27">
        <v>0</v>
      </c>
    </row>
    <row r="28" spans="1:9" x14ac:dyDescent="0.3">
      <c r="A28" s="4" t="s">
        <v>47</v>
      </c>
      <c r="B28" t="s">
        <v>46</v>
      </c>
      <c r="C28" t="s">
        <v>21</v>
      </c>
      <c r="D28" t="s">
        <v>43</v>
      </c>
      <c r="E28">
        <v>14</v>
      </c>
      <c r="F28" s="2">
        <v>46153.372916666667</v>
      </c>
      <c r="G28" s="3" t="s">
        <v>13</v>
      </c>
      <c r="H28">
        <v>320</v>
      </c>
      <c r="I28">
        <v>0</v>
      </c>
    </row>
    <row r="29" spans="1:9" x14ac:dyDescent="0.3">
      <c r="A29">
        <v>51</v>
      </c>
      <c r="B29" t="s">
        <v>48</v>
      </c>
      <c r="C29" t="s">
        <v>21</v>
      </c>
      <c r="D29" t="s">
        <v>49</v>
      </c>
      <c r="E29">
        <v>14</v>
      </c>
      <c r="F29" s="2">
        <v>46150.448611111111</v>
      </c>
      <c r="G29" s="3" t="s">
        <v>13</v>
      </c>
      <c r="H29">
        <v>1</v>
      </c>
      <c r="I29">
        <v>0</v>
      </c>
    </row>
    <row r="30" spans="1:9" x14ac:dyDescent="0.3">
      <c r="A30" s="4" t="s">
        <v>51</v>
      </c>
      <c r="B30" t="s">
        <v>50</v>
      </c>
      <c r="C30" t="s">
        <v>21</v>
      </c>
      <c r="D30" t="s">
        <v>49</v>
      </c>
      <c r="E30">
        <v>14</v>
      </c>
      <c r="F30" s="2">
        <v>46162.01666666667</v>
      </c>
      <c r="G30" s="3" t="s">
        <v>13</v>
      </c>
      <c r="H30">
        <v>15</v>
      </c>
      <c r="I30">
        <v>0</v>
      </c>
    </row>
    <row r="31" spans="1:9" x14ac:dyDescent="0.3">
      <c r="A31">
        <v>99</v>
      </c>
      <c r="B31" t="s">
        <v>52</v>
      </c>
      <c r="C31" t="s">
        <v>21</v>
      </c>
      <c r="D31" t="s">
        <v>49</v>
      </c>
      <c r="E31">
        <v>14</v>
      </c>
      <c r="F31" s="2">
        <v>46162.01666666667</v>
      </c>
      <c r="G31" s="3" t="s">
        <v>13</v>
      </c>
      <c r="H31">
        <v>5</v>
      </c>
      <c r="I31">
        <v>0</v>
      </c>
    </row>
    <row r="32" spans="1:9" x14ac:dyDescent="0.3">
      <c r="A32">
        <v>107</v>
      </c>
      <c r="B32" t="s">
        <v>53</v>
      </c>
      <c r="C32" t="s">
        <v>21</v>
      </c>
      <c r="D32" t="s">
        <v>49</v>
      </c>
      <c r="E32">
        <v>14</v>
      </c>
      <c r="F32" s="2">
        <v>46162.018750000003</v>
      </c>
      <c r="G32" s="3" t="s">
        <v>13</v>
      </c>
      <c r="H32">
        <v>17</v>
      </c>
      <c r="I32">
        <v>0</v>
      </c>
    </row>
    <row r="33" spans="1:10" x14ac:dyDescent="0.3">
      <c r="A33">
        <v>108</v>
      </c>
      <c r="B33" t="s">
        <v>54</v>
      </c>
      <c r="C33" t="s">
        <v>21</v>
      </c>
      <c r="D33" t="s">
        <v>49</v>
      </c>
      <c r="E33">
        <v>14</v>
      </c>
      <c r="F33" s="2">
        <v>46162.018750000003</v>
      </c>
      <c r="G33" s="3" t="s">
        <v>13</v>
      </c>
      <c r="H33">
        <v>21</v>
      </c>
      <c r="I33">
        <v>0</v>
      </c>
    </row>
    <row r="34" spans="1:10" x14ac:dyDescent="0.3">
      <c r="A34">
        <v>109</v>
      </c>
      <c r="B34" t="s">
        <v>55</v>
      </c>
      <c r="C34" t="s">
        <v>21</v>
      </c>
      <c r="D34" t="s">
        <v>49</v>
      </c>
      <c r="E34">
        <v>14</v>
      </c>
      <c r="F34" s="2">
        <v>46162.018750000003</v>
      </c>
      <c r="G34" s="3" t="s">
        <v>13</v>
      </c>
      <c r="H34">
        <v>11</v>
      </c>
      <c r="I34">
        <v>0</v>
      </c>
    </row>
    <row r="35" spans="1:10" x14ac:dyDescent="0.3">
      <c r="A35">
        <v>100</v>
      </c>
      <c r="B35" t="s">
        <v>56</v>
      </c>
      <c r="C35" t="s">
        <v>21</v>
      </c>
      <c r="D35" t="s">
        <v>49</v>
      </c>
      <c r="E35">
        <v>14</v>
      </c>
      <c r="F35" s="2">
        <v>46162.01666666667</v>
      </c>
      <c r="G35" s="3" t="s">
        <v>13</v>
      </c>
      <c r="H35">
        <v>5</v>
      </c>
      <c r="I35">
        <v>0</v>
      </c>
    </row>
    <row r="36" spans="1:10" x14ac:dyDescent="0.3">
      <c r="A36">
        <v>101</v>
      </c>
      <c r="B36" t="s">
        <v>57</v>
      </c>
      <c r="C36" t="s">
        <v>21</v>
      </c>
      <c r="D36" t="s">
        <v>49</v>
      </c>
      <c r="E36">
        <v>14</v>
      </c>
      <c r="F36" s="2">
        <v>46162.01666666667</v>
      </c>
      <c r="G36" s="3" t="s">
        <v>13</v>
      </c>
      <c r="H36">
        <v>6</v>
      </c>
      <c r="I36">
        <v>0</v>
      </c>
    </row>
    <row r="37" spans="1:10" x14ac:dyDescent="0.3">
      <c r="A37">
        <v>52</v>
      </c>
      <c r="B37" t="s">
        <v>58</v>
      </c>
      <c r="C37" t="s">
        <v>21</v>
      </c>
      <c r="D37" t="s">
        <v>49</v>
      </c>
      <c r="E37">
        <v>14</v>
      </c>
      <c r="F37" s="2">
        <v>46150.448611111111</v>
      </c>
      <c r="G37" s="3" t="s">
        <v>13</v>
      </c>
      <c r="H37">
        <v>1</v>
      </c>
      <c r="I37">
        <v>0</v>
      </c>
    </row>
    <row r="38" spans="1:10" x14ac:dyDescent="0.3">
      <c r="A38">
        <v>110</v>
      </c>
      <c r="B38" t="s">
        <v>59</v>
      </c>
      <c r="C38" t="s">
        <v>21</v>
      </c>
      <c r="D38" t="s">
        <v>49</v>
      </c>
      <c r="E38">
        <v>14</v>
      </c>
      <c r="F38" s="2">
        <v>46162.018055555556</v>
      </c>
      <c r="G38" s="3" t="s">
        <v>13</v>
      </c>
      <c r="H38">
        <v>12</v>
      </c>
      <c r="I38">
        <v>0</v>
      </c>
    </row>
    <row r="39" spans="1:10" x14ac:dyDescent="0.3">
      <c r="A39" s="4" t="s">
        <v>61</v>
      </c>
      <c r="B39" t="s">
        <v>60</v>
      </c>
      <c r="C39" t="s">
        <v>21</v>
      </c>
      <c r="D39" t="s">
        <v>49</v>
      </c>
      <c r="E39">
        <v>14</v>
      </c>
      <c r="F39" s="2">
        <v>46162.013194444444</v>
      </c>
      <c r="G39" s="3" t="s">
        <v>13</v>
      </c>
      <c r="H39">
        <v>12</v>
      </c>
      <c r="I39">
        <v>0</v>
      </c>
    </row>
    <row r="40" spans="1:10" x14ac:dyDescent="0.3">
      <c r="A40">
        <v>96</v>
      </c>
      <c r="B40" t="s">
        <v>62</v>
      </c>
      <c r="C40" t="s">
        <v>21</v>
      </c>
      <c r="D40" t="s">
        <v>49</v>
      </c>
      <c r="E40">
        <v>14</v>
      </c>
      <c r="F40" s="2">
        <v>46162.013194444444</v>
      </c>
      <c r="G40" s="3" t="s">
        <v>13</v>
      </c>
      <c r="H40">
        <v>6</v>
      </c>
      <c r="I40">
        <v>0</v>
      </c>
    </row>
    <row r="41" spans="1:10" x14ac:dyDescent="0.3">
      <c r="A41" s="4" t="s">
        <v>64</v>
      </c>
      <c r="B41" t="s">
        <v>63</v>
      </c>
      <c r="C41" t="s">
        <v>21</v>
      </c>
      <c r="D41" t="s">
        <v>49</v>
      </c>
      <c r="E41">
        <v>14</v>
      </c>
      <c r="F41" s="2">
        <v>46149.957638888889</v>
      </c>
      <c r="G41" s="3" t="s">
        <v>13</v>
      </c>
      <c r="H41">
        <v>19</v>
      </c>
      <c r="I41">
        <v>0</v>
      </c>
    </row>
    <row r="42" spans="1:10" x14ac:dyDescent="0.3">
      <c r="A42" s="4" t="s">
        <v>66</v>
      </c>
      <c r="B42" t="s">
        <v>65</v>
      </c>
      <c r="C42" t="s">
        <v>21</v>
      </c>
      <c r="D42" t="s">
        <v>49</v>
      </c>
      <c r="E42">
        <v>14</v>
      </c>
      <c r="F42" s="2">
        <v>46149.957638888889</v>
      </c>
      <c r="G42" s="3" t="s">
        <v>13</v>
      </c>
      <c r="H42">
        <v>16</v>
      </c>
      <c r="I42">
        <v>0</v>
      </c>
    </row>
    <row r="43" spans="1:10" x14ac:dyDescent="0.3">
      <c r="A43">
        <v>46</v>
      </c>
      <c r="B43" t="s">
        <v>67</v>
      </c>
      <c r="C43" t="s">
        <v>21</v>
      </c>
      <c r="D43" t="s">
        <v>49</v>
      </c>
      <c r="E43">
        <v>14</v>
      </c>
      <c r="F43" s="2">
        <v>46149.957638888889</v>
      </c>
      <c r="G43" s="3" t="s">
        <v>13</v>
      </c>
      <c r="H43">
        <v>12</v>
      </c>
      <c r="I43">
        <v>0</v>
      </c>
    </row>
    <row r="44" spans="1:10" x14ac:dyDescent="0.3">
      <c r="A44">
        <v>47</v>
      </c>
      <c r="B44" t="s">
        <v>68</v>
      </c>
      <c r="C44" t="s">
        <v>21</v>
      </c>
      <c r="D44" t="s">
        <v>49</v>
      </c>
      <c r="E44">
        <v>14</v>
      </c>
      <c r="F44" s="2">
        <v>46149.957638888889</v>
      </c>
      <c r="G44" s="3" t="s">
        <v>13</v>
      </c>
      <c r="H44">
        <v>18</v>
      </c>
      <c r="I44">
        <v>0</v>
      </c>
    </row>
    <row r="45" spans="1:10" x14ac:dyDescent="0.3">
      <c r="A45">
        <v>102</v>
      </c>
      <c r="B45" t="s">
        <v>69</v>
      </c>
      <c r="C45" t="s">
        <v>21</v>
      </c>
      <c r="D45" t="s">
        <v>49</v>
      </c>
      <c r="E45">
        <v>14</v>
      </c>
      <c r="F45" s="2">
        <v>46162.01666666667</v>
      </c>
      <c r="G45" s="3" t="s">
        <v>13</v>
      </c>
      <c r="H45">
        <v>11</v>
      </c>
      <c r="I45">
        <v>0</v>
      </c>
    </row>
    <row r="46" spans="1:10" x14ac:dyDescent="0.3">
      <c r="A46" s="4" t="s">
        <v>73</v>
      </c>
      <c r="B46" t="s">
        <v>70</v>
      </c>
      <c r="C46" t="s">
        <v>21</v>
      </c>
      <c r="D46" t="s">
        <v>49</v>
      </c>
      <c r="E46">
        <v>14</v>
      </c>
      <c r="G46" s="5" t="s">
        <v>71</v>
      </c>
      <c r="H46">
        <v>0</v>
      </c>
      <c r="I46">
        <v>0</v>
      </c>
      <c r="J46" s="6" t="s">
        <v>72</v>
      </c>
    </row>
    <row r="47" spans="1:10" x14ac:dyDescent="0.3">
      <c r="A47">
        <v>54</v>
      </c>
      <c r="B47" t="s">
        <v>74</v>
      </c>
      <c r="C47" t="s">
        <v>21</v>
      </c>
      <c r="D47" t="s">
        <v>49</v>
      </c>
      <c r="E47">
        <v>14</v>
      </c>
      <c r="F47" s="2">
        <v>46150.449305555558</v>
      </c>
      <c r="G47" s="3" t="s">
        <v>13</v>
      </c>
      <c r="H47">
        <v>23</v>
      </c>
      <c r="I47">
        <v>0</v>
      </c>
    </row>
    <row r="48" spans="1:10" x14ac:dyDescent="0.3">
      <c r="A48">
        <v>55</v>
      </c>
      <c r="B48" t="s">
        <v>75</v>
      </c>
      <c r="C48" t="s">
        <v>21</v>
      </c>
      <c r="D48" t="s">
        <v>49</v>
      </c>
      <c r="E48">
        <v>14</v>
      </c>
      <c r="F48" s="2">
        <v>46150.448611111111</v>
      </c>
      <c r="G48" s="3" t="s">
        <v>13</v>
      </c>
      <c r="H48">
        <v>15</v>
      </c>
      <c r="I48">
        <v>0</v>
      </c>
    </row>
    <row r="49" spans="1:9" x14ac:dyDescent="0.3">
      <c r="A49">
        <v>56</v>
      </c>
      <c r="B49" t="s">
        <v>76</v>
      </c>
      <c r="C49" t="s">
        <v>21</v>
      </c>
      <c r="D49" t="s">
        <v>49</v>
      </c>
      <c r="E49">
        <v>14</v>
      </c>
      <c r="F49" s="2">
        <v>46150.448611111111</v>
      </c>
      <c r="G49" s="3" t="s">
        <v>13</v>
      </c>
      <c r="H49">
        <v>10</v>
      </c>
      <c r="I49">
        <v>0</v>
      </c>
    </row>
    <row r="50" spans="1:9" x14ac:dyDescent="0.3">
      <c r="A50">
        <v>57</v>
      </c>
      <c r="B50" t="s">
        <v>77</v>
      </c>
      <c r="C50" t="s">
        <v>21</v>
      </c>
      <c r="D50" t="s">
        <v>49</v>
      </c>
      <c r="E50">
        <v>14</v>
      </c>
      <c r="F50" s="2">
        <v>46150.449305555558</v>
      </c>
      <c r="G50" s="3" t="s">
        <v>13</v>
      </c>
      <c r="H50">
        <v>20</v>
      </c>
      <c r="I50">
        <v>0</v>
      </c>
    </row>
    <row r="51" spans="1:9" x14ac:dyDescent="0.3">
      <c r="A51">
        <v>58</v>
      </c>
      <c r="B51" t="s">
        <v>78</v>
      </c>
      <c r="C51" t="s">
        <v>21</v>
      </c>
      <c r="D51" t="s">
        <v>49</v>
      </c>
      <c r="E51">
        <v>14</v>
      </c>
      <c r="F51" s="2">
        <v>46150.449305555558</v>
      </c>
      <c r="G51" s="3" t="s">
        <v>13</v>
      </c>
      <c r="H51">
        <v>22</v>
      </c>
      <c r="I51">
        <v>0</v>
      </c>
    </row>
    <row r="52" spans="1:9" x14ac:dyDescent="0.3">
      <c r="A52">
        <v>59</v>
      </c>
      <c r="B52" t="s">
        <v>79</v>
      </c>
      <c r="C52" t="s">
        <v>21</v>
      </c>
      <c r="D52" t="s">
        <v>49</v>
      </c>
      <c r="E52">
        <v>14</v>
      </c>
      <c r="F52" s="2">
        <v>46150.449305555558</v>
      </c>
      <c r="G52" s="3" t="s">
        <v>13</v>
      </c>
      <c r="H52">
        <v>16</v>
      </c>
      <c r="I52">
        <v>0</v>
      </c>
    </row>
    <row r="53" spans="1:9" x14ac:dyDescent="0.3">
      <c r="A53">
        <v>60</v>
      </c>
      <c r="B53" t="s">
        <v>80</v>
      </c>
      <c r="C53" t="s">
        <v>21</v>
      </c>
      <c r="D53" t="s">
        <v>49</v>
      </c>
      <c r="E53">
        <v>14</v>
      </c>
      <c r="F53" s="2">
        <v>46150.449305555558</v>
      </c>
      <c r="G53" s="3" t="s">
        <v>13</v>
      </c>
      <c r="H53">
        <v>9</v>
      </c>
      <c r="I53">
        <v>0</v>
      </c>
    </row>
    <row r="54" spans="1:9" x14ac:dyDescent="0.3">
      <c r="A54">
        <v>61</v>
      </c>
      <c r="B54" t="s">
        <v>81</v>
      </c>
      <c r="C54" t="s">
        <v>21</v>
      </c>
      <c r="D54" t="s">
        <v>49</v>
      </c>
      <c r="E54">
        <v>14</v>
      </c>
      <c r="F54" s="2">
        <v>46150.449305555558</v>
      </c>
      <c r="G54" s="3" t="s">
        <v>13</v>
      </c>
      <c r="H54">
        <v>18</v>
      </c>
      <c r="I54">
        <v>0</v>
      </c>
    </row>
    <row r="55" spans="1:9" x14ac:dyDescent="0.3">
      <c r="A55">
        <v>103</v>
      </c>
      <c r="B55" t="s">
        <v>82</v>
      </c>
      <c r="C55" t="s">
        <v>21</v>
      </c>
      <c r="D55" t="s">
        <v>49</v>
      </c>
      <c r="E55">
        <v>14</v>
      </c>
      <c r="F55" s="2">
        <v>46162.01666666667</v>
      </c>
      <c r="G55" s="3" t="s">
        <v>13</v>
      </c>
      <c r="H55">
        <v>4</v>
      </c>
      <c r="I55">
        <v>0</v>
      </c>
    </row>
    <row r="56" spans="1:9" x14ac:dyDescent="0.3">
      <c r="A56">
        <v>104</v>
      </c>
      <c r="B56" t="s">
        <v>83</v>
      </c>
      <c r="C56" t="s">
        <v>21</v>
      </c>
      <c r="D56" t="s">
        <v>49</v>
      </c>
      <c r="E56">
        <v>14</v>
      </c>
      <c r="F56" s="2">
        <v>46162.01666666667</v>
      </c>
      <c r="G56" s="3" t="s">
        <v>13</v>
      </c>
      <c r="H56">
        <v>8</v>
      </c>
      <c r="I56">
        <v>0</v>
      </c>
    </row>
    <row r="57" spans="1:9" x14ac:dyDescent="0.3">
      <c r="A57">
        <v>105</v>
      </c>
      <c r="B57" t="s">
        <v>84</v>
      </c>
      <c r="C57" t="s">
        <v>21</v>
      </c>
      <c r="D57" t="s">
        <v>49</v>
      </c>
      <c r="E57">
        <v>14</v>
      </c>
      <c r="F57" s="2">
        <v>46162.01666666667</v>
      </c>
      <c r="G57" s="3" t="s">
        <v>13</v>
      </c>
      <c r="H57">
        <v>4</v>
      </c>
      <c r="I57">
        <v>0</v>
      </c>
    </row>
    <row r="58" spans="1:9" x14ac:dyDescent="0.3">
      <c r="A58">
        <v>106</v>
      </c>
      <c r="B58" t="s">
        <v>85</v>
      </c>
      <c r="C58" t="s">
        <v>21</v>
      </c>
      <c r="D58" t="s">
        <v>49</v>
      </c>
      <c r="E58">
        <v>14</v>
      </c>
      <c r="F58" s="2">
        <v>46162.01666666667</v>
      </c>
      <c r="G58" s="3" t="s">
        <v>13</v>
      </c>
      <c r="H58">
        <v>5</v>
      </c>
      <c r="I58">
        <v>0</v>
      </c>
    </row>
    <row r="59" spans="1:9" x14ac:dyDescent="0.3">
      <c r="A59">
        <v>97</v>
      </c>
      <c r="B59" t="s">
        <v>86</v>
      </c>
      <c r="C59" t="s">
        <v>21</v>
      </c>
      <c r="D59" t="s">
        <v>49</v>
      </c>
      <c r="E59">
        <v>14</v>
      </c>
      <c r="F59" s="2">
        <v>46162.013194444444</v>
      </c>
      <c r="G59" s="3" t="s">
        <v>13</v>
      </c>
      <c r="H59">
        <v>13</v>
      </c>
      <c r="I59">
        <v>0</v>
      </c>
    </row>
    <row r="60" spans="1:9" x14ac:dyDescent="0.3">
      <c r="A60">
        <v>42</v>
      </c>
      <c r="B60" t="s">
        <v>87</v>
      </c>
      <c r="C60" t="s">
        <v>21</v>
      </c>
      <c r="D60" t="s">
        <v>49</v>
      </c>
      <c r="E60">
        <v>14</v>
      </c>
      <c r="F60" s="2">
        <v>46148.581944444442</v>
      </c>
      <c r="G60" s="3" t="s">
        <v>13</v>
      </c>
      <c r="H60">
        <v>414</v>
      </c>
      <c r="I60">
        <v>0</v>
      </c>
    </row>
    <row r="61" spans="1:9" x14ac:dyDescent="0.3">
      <c r="A61" s="4" t="s">
        <v>89</v>
      </c>
      <c r="B61" t="s">
        <v>88</v>
      </c>
      <c r="C61" t="s">
        <v>21</v>
      </c>
      <c r="D61" t="s">
        <v>49</v>
      </c>
      <c r="E61">
        <v>15</v>
      </c>
      <c r="F61" s="2">
        <v>46162.022916666669</v>
      </c>
      <c r="G61" s="3" t="s">
        <v>13</v>
      </c>
      <c r="H61">
        <v>21</v>
      </c>
      <c r="I61">
        <v>0</v>
      </c>
    </row>
    <row r="62" spans="1:9" x14ac:dyDescent="0.3">
      <c r="A62">
        <v>118</v>
      </c>
      <c r="B62" t="s">
        <v>90</v>
      </c>
      <c r="C62" t="s">
        <v>21</v>
      </c>
      <c r="D62" t="s">
        <v>49</v>
      </c>
      <c r="E62">
        <v>15</v>
      </c>
      <c r="F62" s="2">
        <v>46162.022916666669</v>
      </c>
      <c r="G62" s="3" t="s">
        <v>13</v>
      </c>
      <c r="H62">
        <v>20</v>
      </c>
      <c r="I62">
        <v>0</v>
      </c>
    </row>
    <row r="63" spans="1:9" x14ac:dyDescent="0.3">
      <c r="A63">
        <v>119</v>
      </c>
      <c r="B63" t="s">
        <v>91</v>
      </c>
      <c r="C63" t="s">
        <v>21</v>
      </c>
      <c r="D63" t="s">
        <v>49</v>
      </c>
      <c r="E63">
        <v>15</v>
      </c>
      <c r="F63" s="2">
        <v>46162.022916666669</v>
      </c>
      <c r="G63" s="3" t="s">
        <v>13</v>
      </c>
      <c r="H63">
        <v>30</v>
      </c>
      <c r="I63">
        <v>0</v>
      </c>
    </row>
    <row r="64" spans="1:9" x14ac:dyDescent="0.3">
      <c r="A64">
        <v>120</v>
      </c>
      <c r="B64" t="s">
        <v>92</v>
      </c>
      <c r="C64" t="s">
        <v>21</v>
      </c>
      <c r="D64" t="s">
        <v>49</v>
      </c>
      <c r="E64">
        <v>15</v>
      </c>
      <c r="F64" s="2">
        <v>46162.022916666669</v>
      </c>
      <c r="G64" s="3" t="s">
        <v>13</v>
      </c>
      <c r="H64">
        <v>6</v>
      </c>
      <c r="I64">
        <v>0</v>
      </c>
    </row>
    <row r="65" spans="1:10" x14ac:dyDescent="0.3">
      <c r="A65">
        <v>121</v>
      </c>
      <c r="B65" t="s">
        <v>93</v>
      </c>
      <c r="C65" t="s">
        <v>21</v>
      </c>
      <c r="D65" t="s">
        <v>49</v>
      </c>
      <c r="E65">
        <v>15</v>
      </c>
      <c r="F65" s="2">
        <v>46162.022916666669</v>
      </c>
      <c r="G65" s="3" t="s">
        <v>13</v>
      </c>
      <c r="H65">
        <v>21</v>
      </c>
      <c r="I65">
        <v>0</v>
      </c>
    </row>
    <row r="66" spans="1:10" x14ac:dyDescent="0.3">
      <c r="A66">
        <v>122</v>
      </c>
      <c r="B66" t="s">
        <v>94</v>
      </c>
      <c r="C66" t="s">
        <v>21</v>
      </c>
      <c r="D66" t="s">
        <v>49</v>
      </c>
      <c r="E66">
        <v>15</v>
      </c>
      <c r="F66" s="2">
        <v>46162.022916666669</v>
      </c>
      <c r="G66" s="6" t="s">
        <v>95</v>
      </c>
      <c r="H66">
        <v>32</v>
      </c>
      <c r="I66">
        <v>0</v>
      </c>
      <c r="J66" s="6" t="s">
        <v>96</v>
      </c>
    </row>
    <row r="67" spans="1:10" x14ac:dyDescent="0.3">
      <c r="A67">
        <v>123</v>
      </c>
      <c r="B67" t="s">
        <v>97</v>
      </c>
      <c r="C67" t="s">
        <v>21</v>
      </c>
      <c r="D67" t="s">
        <v>49</v>
      </c>
      <c r="E67">
        <v>15</v>
      </c>
      <c r="F67" s="2">
        <v>46162.022916666669</v>
      </c>
      <c r="G67" s="3" t="s">
        <v>13</v>
      </c>
      <c r="H67">
        <v>28</v>
      </c>
      <c r="I67">
        <v>0</v>
      </c>
    </row>
    <row r="68" spans="1:10" x14ac:dyDescent="0.3">
      <c r="A68" s="4" t="s">
        <v>99</v>
      </c>
      <c r="B68" t="s">
        <v>98</v>
      </c>
      <c r="C68" t="s">
        <v>21</v>
      </c>
      <c r="D68" t="s">
        <v>49</v>
      </c>
      <c r="E68">
        <v>3</v>
      </c>
      <c r="F68" s="2">
        <v>46149.960416666669</v>
      </c>
      <c r="G68" s="3" t="s">
        <v>13</v>
      </c>
      <c r="H68">
        <v>114</v>
      </c>
      <c r="I68">
        <v>0</v>
      </c>
    </row>
    <row r="69" spans="1:10" x14ac:dyDescent="0.3">
      <c r="A69" s="4" t="s">
        <v>102</v>
      </c>
      <c r="B69" t="s">
        <v>100</v>
      </c>
      <c r="C69" t="s">
        <v>101</v>
      </c>
      <c r="D69" t="s">
        <v>19</v>
      </c>
      <c r="E69">
        <v>14</v>
      </c>
      <c r="F69" s="2">
        <v>46147.338888888888</v>
      </c>
      <c r="G69" s="6" t="s">
        <v>95</v>
      </c>
      <c r="H69">
        <v>278</v>
      </c>
      <c r="I69">
        <v>0</v>
      </c>
      <c r="J69" s="6" t="s">
        <v>96</v>
      </c>
    </row>
    <row r="70" spans="1:10" x14ac:dyDescent="0.3">
      <c r="A70">
        <v>63</v>
      </c>
      <c r="B70" t="s">
        <v>103</v>
      </c>
      <c r="C70" t="s">
        <v>101</v>
      </c>
      <c r="D70" t="s">
        <v>19</v>
      </c>
      <c r="E70">
        <v>14</v>
      </c>
      <c r="F70" s="2">
        <v>46161.992361111108</v>
      </c>
      <c r="G70" s="3" t="s">
        <v>13</v>
      </c>
      <c r="H70">
        <v>2</v>
      </c>
      <c r="I70">
        <v>0</v>
      </c>
    </row>
    <row r="71" spans="1:10" x14ac:dyDescent="0.3">
      <c r="A71">
        <v>64</v>
      </c>
      <c r="B71" t="s">
        <v>104</v>
      </c>
      <c r="C71" t="s">
        <v>101</v>
      </c>
      <c r="D71" t="s">
        <v>19</v>
      </c>
      <c r="E71">
        <v>14</v>
      </c>
      <c r="F71" s="2">
        <v>46161.992361111108</v>
      </c>
      <c r="G71" s="3" t="s">
        <v>13</v>
      </c>
      <c r="H71">
        <v>3</v>
      </c>
      <c r="I71">
        <v>0</v>
      </c>
    </row>
    <row r="72" spans="1:10" x14ac:dyDescent="0.3">
      <c r="A72">
        <v>71</v>
      </c>
      <c r="B72" t="s">
        <v>105</v>
      </c>
      <c r="C72" t="s">
        <v>101</v>
      </c>
      <c r="D72" t="s">
        <v>19</v>
      </c>
      <c r="E72">
        <v>14</v>
      </c>
      <c r="F72" s="2">
        <v>46161.993750000001</v>
      </c>
      <c r="G72" s="3" t="s">
        <v>13</v>
      </c>
      <c r="H72">
        <v>9</v>
      </c>
      <c r="I72">
        <v>0</v>
      </c>
    </row>
    <row r="73" spans="1:10" x14ac:dyDescent="0.3">
      <c r="A73">
        <v>66</v>
      </c>
      <c r="B73" t="s">
        <v>106</v>
      </c>
      <c r="C73" t="s">
        <v>101</v>
      </c>
      <c r="D73" t="s">
        <v>19</v>
      </c>
      <c r="E73">
        <v>14</v>
      </c>
      <c r="F73" s="2">
        <v>46161.992361111108</v>
      </c>
      <c r="G73" s="3" t="s">
        <v>13</v>
      </c>
      <c r="H73">
        <v>3</v>
      </c>
      <c r="I73">
        <v>0</v>
      </c>
    </row>
    <row r="74" spans="1:10" x14ac:dyDescent="0.3">
      <c r="A74" s="4" t="s">
        <v>108</v>
      </c>
      <c r="B74" t="s">
        <v>107</v>
      </c>
      <c r="C74" t="s">
        <v>101</v>
      </c>
      <c r="D74" t="s">
        <v>19</v>
      </c>
      <c r="E74">
        <v>14</v>
      </c>
      <c r="F74" s="2">
        <v>46161.992361111108</v>
      </c>
      <c r="G74" s="3" t="s">
        <v>13</v>
      </c>
      <c r="H74">
        <v>5</v>
      </c>
      <c r="I74">
        <v>0</v>
      </c>
    </row>
    <row r="75" spans="1:10" x14ac:dyDescent="0.3">
      <c r="A75">
        <v>68</v>
      </c>
      <c r="B75" t="s">
        <v>109</v>
      </c>
      <c r="C75" t="s">
        <v>101</v>
      </c>
      <c r="D75" t="s">
        <v>19</v>
      </c>
      <c r="E75">
        <v>14</v>
      </c>
      <c r="F75" s="2">
        <v>46161.992361111108</v>
      </c>
      <c r="G75" s="3" t="s">
        <v>13</v>
      </c>
      <c r="H75">
        <v>6</v>
      </c>
      <c r="I75">
        <v>0</v>
      </c>
    </row>
    <row r="76" spans="1:10" x14ac:dyDescent="0.3">
      <c r="A76" s="4" t="s">
        <v>111</v>
      </c>
      <c r="B76" t="s">
        <v>110</v>
      </c>
      <c r="C76" t="s">
        <v>101</v>
      </c>
      <c r="D76" t="s">
        <v>49</v>
      </c>
      <c r="E76">
        <v>14</v>
      </c>
      <c r="F76" s="2">
        <v>46162.020833333336</v>
      </c>
      <c r="G76" s="6" t="s">
        <v>95</v>
      </c>
      <c r="H76">
        <v>15</v>
      </c>
      <c r="I76">
        <v>0</v>
      </c>
      <c r="J76" s="6" t="s">
        <v>96</v>
      </c>
    </row>
    <row r="77" spans="1:10" x14ac:dyDescent="0.3">
      <c r="A77">
        <v>115</v>
      </c>
      <c r="B77" t="s">
        <v>112</v>
      </c>
      <c r="C77" t="s">
        <v>101</v>
      </c>
      <c r="D77" t="s">
        <v>49</v>
      </c>
      <c r="E77">
        <v>14</v>
      </c>
      <c r="F77" s="2">
        <v>46162.019444444442</v>
      </c>
      <c r="G77" s="3" t="s">
        <v>13</v>
      </c>
      <c r="H77">
        <v>4</v>
      </c>
      <c r="I77">
        <v>0</v>
      </c>
    </row>
    <row r="78" spans="1:10" x14ac:dyDescent="0.3">
      <c r="A78">
        <v>111</v>
      </c>
      <c r="B78" t="s">
        <v>113</v>
      </c>
      <c r="C78" t="s">
        <v>101</v>
      </c>
      <c r="D78" t="s">
        <v>49</v>
      </c>
      <c r="E78">
        <v>14</v>
      </c>
      <c r="F78" s="2">
        <v>46162.019444444442</v>
      </c>
      <c r="G78" s="3" t="s">
        <v>13</v>
      </c>
      <c r="H78">
        <v>4</v>
      </c>
      <c r="I78">
        <v>0</v>
      </c>
    </row>
    <row r="79" spans="1:10" x14ac:dyDescent="0.3">
      <c r="A79">
        <v>112</v>
      </c>
      <c r="B79" t="s">
        <v>114</v>
      </c>
      <c r="C79" t="s">
        <v>101</v>
      </c>
      <c r="D79" t="s">
        <v>49</v>
      </c>
      <c r="E79">
        <v>14</v>
      </c>
      <c r="F79" s="2">
        <v>46162.019444444442</v>
      </c>
      <c r="G79" s="3" t="s">
        <v>13</v>
      </c>
      <c r="H79">
        <v>10</v>
      </c>
      <c r="I79">
        <v>0</v>
      </c>
    </row>
    <row r="80" spans="1:10" x14ac:dyDescent="0.3">
      <c r="A80">
        <v>113</v>
      </c>
      <c r="B80" t="s">
        <v>115</v>
      </c>
      <c r="C80" t="s">
        <v>101</v>
      </c>
      <c r="D80" t="s">
        <v>49</v>
      </c>
      <c r="E80">
        <v>14</v>
      </c>
      <c r="F80" s="2">
        <v>46162.019444444442</v>
      </c>
      <c r="G80" s="3" t="s">
        <v>13</v>
      </c>
      <c r="H80">
        <v>16</v>
      </c>
      <c r="I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27EC-E1E5-4A36-9AAD-A1F4644DF0C0}">
  <dimension ref="A1:T29"/>
  <sheetViews>
    <sheetView tabSelected="1" workbookViewId="0">
      <pane ySplit="3" topLeftCell="A4" activePane="bottomLeft" state="frozenSplit"/>
      <selection pane="bottomLeft" activeCell="A4" sqref="A4"/>
    </sheetView>
  </sheetViews>
  <sheetFormatPr defaultRowHeight="14.4" x14ac:dyDescent="0.3"/>
  <cols>
    <col min="1" max="1" width="80.77734375" bestFit="1" customWidth="1"/>
    <col min="2" max="2" width="19.77734375" bestFit="1" customWidth="1"/>
    <col min="3" max="3" width="16.88671875" bestFit="1" customWidth="1"/>
    <col min="4" max="4" width="7.21875" bestFit="1" customWidth="1"/>
    <col min="5" max="5" width="15.33203125" bestFit="1" customWidth="1"/>
    <col min="6" max="6" width="20.6640625" bestFit="1" customWidth="1"/>
    <col min="7" max="7" width="7.109375" bestFit="1" customWidth="1"/>
    <col min="8" max="8" width="12.5546875" bestFit="1" customWidth="1"/>
    <col min="9" max="9" width="18.88671875" bestFit="1" customWidth="1"/>
    <col min="10" max="10" width="8.33203125" bestFit="1" customWidth="1"/>
    <col min="11" max="11" width="17.33203125" bestFit="1" customWidth="1"/>
    <col min="12" max="12" width="17.77734375" bestFit="1" customWidth="1"/>
    <col min="13" max="13" width="16.109375" bestFit="1" customWidth="1"/>
    <col min="14" max="14" width="17.77734375" bestFit="1" customWidth="1"/>
    <col min="15" max="15" width="16.88671875" bestFit="1" customWidth="1"/>
    <col min="16" max="16" width="17.5546875" bestFit="1" customWidth="1"/>
    <col min="17" max="17" width="15.33203125" bestFit="1" customWidth="1"/>
    <col min="18" max="18" width="19.21875" bestFit="1" customWidth="1"/>
    <col min="19" max="19" width="9" bestFit="1" customWidth="1"/>
    <col min="20" max="20" width="12.77734375" bestFit="1" customWidth="1"/>
  </cols>
  <sheetData>
    <row r="1" spans="1:20" ht="17.399999999999999" x14ac:dyDescent="0.35">
      <c r="A1" s="12" t="s">
        <v>116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 x14ac:dyDescent="0.3">
      <c r="A2" s="13" t="s">
        <v>117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7" t="s">
        <v>8</v>
      </c>
      <c r="I3" s="7" t="s">
        <v>118</v>
      </c>
      <c r="J3" s="7" t="s">
        <v>119</v>
      </c>
      <c r="K3" s="8" t="s">
        <v>120</v>
      </c>
      <c r="L3" s="8" t="s">
        <v>121</v>
      </c>
      <c r="M3" s="8" t="s">
        <v>122</v>
      </c>
      <c r="N3" s="8" t="s">
        <v>123</v>
      </c>
      <c r="O3" s="8" t="s">
        <v>124</v>
      </c>
      <c r="P3" s="8" t="s">
        <v>125</v>
      </c>
      <c r="Q3" s="8" t="s">
        <v>126</v>
      </c>
      <c r="R3" s="8" t="s">
        <v>127</v>
      </c>
      <c r="S3" s="8" t="s">
        <v>128</v>
      </c>
      <c r="T3" s="8" t="s">
        <v>129</v>
      </c>
    </row>
    <row r="4" spans="1:20" x14ac:dyDescent="0.3">
      <c r="A4" s="10" t="s">
        <v>130</v>
      </c>
      <c r="B4" s="10" t="s">
        <v>11</v>
      </c>
      <c r="C4" s="10" t="s">
        <v>12</v>
      </c>
      <c r="D4" s="10">
        <v>14</v>
      </c>
      <c r="E4" s="11">
        <v>46175.950694444444</v>
      </c>
      <c r="F4" s="10" t="s">
        <v>13</v>
      </c>
      <c r="G4" s="10">
        <v>2</v>
      </c>
      <c r="H4" s="10">
        <v>0</v>
      </c>
      <c r="I4" s="10"/>
      <c r="J4" s="10" t="s">
        <v>131</v>
      </c>
      <c r="K4" s="9">
        <v>4</v>
      </c>
      <c r="L4" s="9">
        <v>4</v>
      </c>
      <c r="M4" s="9">
        <v>4</v>
      </c>
      <c r="N4" s="9">
        <v>4</v>
      </c>
      <c r="O4" s="9">
        <v>3</v>
      </c>
      <c r="P4" s="9">
        <v>4</v>
      </c>
      <c r="Q4" s="9">
        <v>3</v>
      </c>
      <c r="R4" s="9">
        <v>4</v>
      </c>
      <c r="S4">
        <f t="shared" ref="S4:S18" si="0">IFERROR(AVERAGE(K4:R4),"")</f>
        <v>3.75</v>
      </c>
    </row>
    <row r="5" spans="1:20" x14ac:dyDescent="0.3">
      <c r="A5" t="s">
        <v>132</v>
      </c>
      <c r="B5" t="s">
        <v>21</v>
      </c>
      <c r="C5" t="s">
        <v>19</v>
      </c>
      <c r="D5">
        <v>14</v>
      </c>
      <c r="E5" s="2">
        <v>46161.998611111114</v>
      </c>
      <c r="F5" s="3" t="s">
        <v>13</v>
      </c>
      <c r="G5">
        <v>1</v>
      </c>
      <c r="H5">
        <v>0</v>
      </c>
      <c r="J5" t="s">
        <v>131</v>
      </c>
      <c r="K5" s="9"/>
      <c r="L5" s="9"/>
      <c r="M5" s="9"/>
      <c r="N5" s="9"/>
      <c r="O5" s="9"/>
      <c r="P5" s="9"/>
      <c r="Q5" s="9"/>
      <c r="R5" s="9"/>
      <c r="S5" t="str">
        <f t="shared" si="0"/>
        <v/>
      </c>
    </row>
    <row r="6" spans="1:20" x14ac:dyDescent="0.3">
      <c r="A6" s="10" t="s">
        <v>133</v>
      </c>
      <c r="B6" s="10" t="s">
        <v>21</v>
      </c>
      <c r="C6" s="10" t="s">
        <v>19</v>
      </c>
      <c r="D6" s="10">
        <v>14</v>
      </c>
      <c r="E6" s="11">
        <v>46147.351388888892</v>
      </c>
      <c r="F6" s="10" t="s">
        <v>13</v>
      </c>
      <c r="G6" s="10">
        <v>1342</v>
      </c>
      <c r="H6" s="10">
        <v>0</v>
      </c>
      <c r="I6" s="10"/>
      <c r="J6" s="10" t="s">
        <v>131</v>
      </c>
      <c r="K6" s="9"/>
      <c r="L6" s="9"/>
      <c r="M6" s="9"/>
      <c r="N6" s="9"/>
      <c r="O6" s="9"/>
      <c r="P6" s="9"/>
      <c r="Q6" s="9"/>
      <c r="R6" s="9"/>
      <c r="S6" t="str">
        <f t="shared" si="0"/>
        <v/>
      </c>
    </row>
    <row r="7" spans="1:20" x14ac:dyDescent="0.3">
      <c r="A7" t="s">
        <v>134</v>
      </c>
      <c r="B7" t="s">
        <v>21</v>
      </c>
      <c r="C7" t="s">
        <v>43</v>
      </c>
      <c r="D7">
        <v>14</v>
      </c>
      <c r="E7" s="2">
        <v>46153.372916666667</v>
      </c>
      <c r="F7" s="3" t="s">
        <v>13</v>
      </c>
      <c r="G7">
        <v>320</v>
      </c>
      <c r="H7">
        <v>0</v>
      </c>
      <c r="J7" t="s">
        <v>131</v>
      </c>
      <c r="K7" s="9"/>
      <c r="L7" s="9"/>
      <c r="M7" s="9"/>
      <c r="N7" s="9"/>
      <c r="O7" s="9"/>
      <c r="P7" s="9"/>
      <c r="Q7" s="9"/>
      <c r="R7" s="9"/>
      <c r="S7" t="str">
        <f t="shared" si="0"/>
        <v/>
      </c>
    </row>
    <row r="8" spans="1:20" x14ac:dyDescent="0.3">
      <c r="A8" s="10" t="s">
        <v>135</v>
      </c>
      <c r="B8" s="10" t="s">
        <v>21</v>
      </c>
      <c r="C8" s="10" t="s">
        <v>43</v>
      </c>
      <c r="D8" s="10">
        <v>14</v>
      </c>
      <c r="E8" s="11">
        <v>46149.958333333336</v>
      </c>
      <c r="F8" s="10" t="s">
        <v>13</v>
      </c>
      <c r="G8" s="10">
        <v>142</v>
      </c>
      <c r="H8" s="10">
        <v>0</v>
      </c>
      <c r="I8" s="10"/>
      <c r="J8" s="10" t="s">
        <v>131</v>
      </c>
      <c r="K8" s="9"/>
      <c r="L8" s="9"/>
      <c r="M8" s="9"/>
      <c r="N8" s="9"/>
      <c r="O8" s="9"/>
      <c r="P8" s="9"/>
      <c r="Q8" s="9"/>
      <c r="R8" s="9"/>
      <c r="S8" t="str">
        <f t="shared" si="0"/>
        <v/>
      </c>
    </row>
    <row r="9" spans="1:20" x14ac:dyDescent="0.3">
      <c r="A9" t="s">
        <v>136</v>
      </c>
      <c r="B9" t="s">
        <v>21</v>
      </c>
      <c r="C9" t="s">
        <v>49</v>
      </c>
      <c r="D9">
        <v>14</v>
      </c>
      <c r="E9" s="2">
        <v>46162.01666666667</v>
      </c>
      <c r="F9" s="3" t="s">
        <v>13</v>
      </c>
      <c r="G9">
        <v>15</v>
      </c>
      <c r="H9">
        <v>0</v>
      </c>
      <c r="J9" t="s">
        <v>131</v>
      </c>
      <c r="K9" s="9"/>
      <c r="L9" s="9"/>
      <c r="M9" s="9"/>
      <c r="N9" s="9"/>
      <c r="O9" s="9"/>
      <c r="P9" s="9"/>
      <c r="Q9" s="9"/>
      <c r="R9" s="9"/>
      <c r="S9" t="str">
        <f t="shared" si="0"/>
        <v/>
      </c>
    </row>
    <row r="10" spans="1:20" x14ac:dyDescent="0.3">
      <c r="A10" s="10" t="s">
        <v>137</v>
      </c>
      <c r="B10" s="10" t="s">
        <v>21</v>
      </c>
      <c r="C10" s="10" t="s">
        <v>49</v>
      </c>
      <c r="D10" s="10">
        <v>14</v>
      </c>
      <c r="E10" s="11">
        <v>46162.013194444444</v>
      </c>
      <c r="F10" s="10" t="s">
        <v>13</v>
      </c>
      <c r="G10" s="10">
        <v>12</v>
      </c>
      <c r="H10" s="10">
        <v>0</v>
      </c>
      <c r="I10" s="10"/>
      <c r="J10" s="10" t="s">
        <v>131</v>
      </c>
      <c r="K10" s="9"/>
      <c r="L10" s="9"/>
      <c r="M10" s="9"/>
      <c r="N10" s="9"/>
      <c r="O10" s="9"/>
      <c r="P10" s="9"/>
      <c r="Q10" s="9"/>
      <c r="R10" s="9"/>
      <c r="S10" t="str">
        <f t="shared" si="0"/>
        <v/>
      </c>
    </row>
    <row r="11" spans="1:20" x14ac:dyDescent="0.3">
      <c r="A11" t="s">
        <v>138</v>
      </c>
      <c r="B11" t="s">
        <v>21</v>
      </c>
      <c r="C11" t="s">
        <v>49</v>
      </c>
      <c r="D11">
        <v>14</v>
      </c>
      <c r="F11" s="5" t="s">
        <v>71</v>
      </c>
      <c r="G11">
        <v>0</v>
      </c>
      <c r="H11">
        <v>0</v>
      </c>
      <c r="I11" s="6" t="s">
        <v>71</v>
      </c>
      <c r="J11" t="s">
        <v>131</v>
      </c>
      <c r="K11" s="9"/>
      <c r="L11" s="9"/>
      <c r="M11" s="9"/>
      <c r="N11" s="9"/>
      <c r="O11" s="9"/>
      <c r="P11" s="9"/>
      <c r="Q11" s="9"/>
      <c r="R11" s="9"/>
      <c r="S11" t="str">
        <f t="shared" si="0"/>
        <v/>
      </c>
    </row>
    <row r="12" spans="1:20" x14ac:dyDescent="0.3">
      <c r="A12" s="10" t="s">
        <v>139</v>
      </c>
      <c r="B12" s="10" t="s">
        <v>21</v>
      </c>
      <c r="C12" s="10" t="s">
        <v>49</v>
      </c>
      <c r="D12" s="10">
        <v>14</v>
      </c>
      <c r="E12" s="11">
        <v>46149.957638888889</v>
      </c>
      <c r="F12" s="10" t="s">
        <v>13</v>
      </c>
      <c r="G12" s="10">
        <v>16</v>
      </c>
      <c r="H12" s="10">
        <v>0</v>
      </c>
      <c r="I12" s="10"/>
      <c r="J12" s="10" t="s">
        <v>131</v>
      </c>
      <c r="K12" s="9"/>
      <c r="L12" s="9"/>
      <c r="M12" s="9"/>
      <c r="N12" s="9"/>
      <c r="O12" s="9"/>
      <c r="P12" s="9"/>
      <c r="Q12" s="9"/>
      <c r="R12" s="9"/>
      <c r="S12" t="str">
        <f t="shared" si="0"/>
        <v/>
      </c>
    </row>
    <row r="13" spans="1:20" x14ac:dyDescent="0.3">
      <c r="A13" t="s">
        <v>140</v>
      </c>
      <c r="B13" t="s">
        <v>21</v>
      </c>
      <c r="C13" t="s">
        <v>49</v>
      </c>
      <c r="D13">
        <v>14</v>
      </c>
      <c r="E13" s="2">
        <v>46149.957638888889</v>
      </c>
      <c r="F13" s="3" t="s">
        <v>13</v>
      </c>
      <c r="G13">
        <v>19</v>
      </c>
      <c r="H13">
        <v>0</v>
      </c>
      <c r="J13" t="s">
        <v>131</v>
      </c>
      <c r="K13" s="9"/>
      <c r="L13" s="9"/>
      <c r="M13" s="9"/>
      <c r="N13" s="9"/>
      <c r="O13" s="9"/>
      <c r="P13" s="9"/>
      <c r="Q13" s="9"/>
      <c r="R13" s="9"/>
      <c r="S13" t="str">
        <f t="shared" si="0"/>
        <v/>
      </c>
    </row>
    <row r="14" spans="1:20" x14ac:dyDescent="0.3">
      <c r="A14" s="10" t="s">
        <v>141</v>
      </c>
      <c r="B14" s="10" t="s">
        <v>21</v>
      </c>
      <c r="C14" s="10" t="s">
        <v>49</v>
      </c>
      <c r="D14" s="10">
        <v>15</v>
      </c>
      <c r="E14" s="11">
        <v>46162.022916666669</v>
      </c>
      <c r="F14" s="10" t="s">
        <v>13</v>
      </c>
      <c r="G14" s="10">
        <v>21</v>
      </c>
      <c r="H14" s="10">
        <v>0</v>
      </c>
      <c r="I14" s="10"/>
      <c r="J14" s="10" t="s">
        <v>131</v>
      </c>
      <c r="K14" s="9"/>
      <c r="L14" s="9"/>
      <c r="M14" s="9"/>
      <c r="N14" s="9"/>
      <c r="O14" s="9"/>
      <c r="P14" s="9"/>
      <c r="Q14" s="9"/>
      <c r="R14" s="9"/>
      <c r="S14" t="str">
        <f t="shared" si="0"/>
        <v/>
      </c>
    </row>
    <row r="15" spans="1:20" x14ac:dyDescent="0.3">
      <c r="A15" t="s">
        <v>142</v>
      </c>
      <c r="B15" t="s">
        <v>21</v>
      </c>
      <c r="C15" t="s">
        <v>49</v>
      </c>
      <c r="D15">
        <v>3</v>
      </c>
      <c r="E15" s="2">
        <v>46149.960416666669</v>
      </c>
      <c r="F15" s="3" t="s">
        <v>13</v>
      </c>
      <c r="G15">
        <v>114</v>
      </c>
      <c r="H15">
        <v>0</v>
      </c>
      <c r="J15" t="s">
        <v>131</v>
      </c>
      <c r="K15" s="9"/>
      <c r="L15" s="9"/>
      <c r="M15" s="9"/>
      <c r="N15" s="9"/>
      <c r="O15" s="9"/>
      <c r="P15" s="9"/>
      <c r="Q15" s="9"/>
      <c r="R15" s="9"/>
      <c r="S15" t="str">
        <f t="shared" si="0"/>
        <v/>
      </c>
    </row>
    <row r="16" spans="1:20" x14ac:dyDescent="0.3">
      <c r="A16" s="10" t="s">
        <v>143</v>
      </c>
      <c r="B16" s="10" t="s">
        <v>101</v>
      </c>
      <c r="C16" s="10" t="s">
        <v>19</v>
      </c>
      <c r="D16" s="10">
        <v>14</v>
      </c>
      <c r="E16" s="11">
        <v>46147.338888888888</v>
      </c>
      <c r="F16" s="10" t="s">
        <v>95</v>
      </c>
      <c r="G16" s="10">
        <v>278</v>
      </c>
      <c r="H16" s="10">
        <v>0</v>
      </c>
      <c r="I16" s="10" t="s">
        <v>144</v>
      </c>
      <c r="J16" s="10" t="s">
        <v>131</v>
      </c>
      <c r="K16" s="9"/>
      <c r="L16" s="9"/>
      <c r="M16" s="9"/>
      <c r="N16" s="9"/>
      <c r="O16" s="9"/>
      <c r="P16" s="9"/>
      <c r="Q16" s="9"/>
      <c r="R16" s="9"/>
      <c r="S16" t="str">
        <f t="shared" si="0"/>
        <v/>
      </c>
    </row>
    <row r="17" spans="1:20" x14ac:dyDescent="0.3">
      <c r="A17" t="s">
        <v>145</v>
      </c>
      <c r="B17" t="s">
        <v>101</v>
      </c>
      <c r="C17" t="s">
        <v>19</v>
      </c>
      <c r="D17">
        <v>14</v>
      </c>
      <c r="E17" s="2">
        <v>46161.992361111108</v>
      </c>
      <c r="F17" s="3" t="s">
        <v>13</v>
      </c>
      <c r="G17">
        <v>5</v>
      </c>
      <c r="H17">
        <v>0</v>
      </c>
      <c r="J17" t="s">
        <v>131</v>
      </c>
      <c r="K17" s="9"/>
      <c r="L17" s="9"/>
      <c r="M17" s="9"/>
      <c r="N17" s="9"/>
      <c r="O17" s="9"/>
      <c r="P17" s="9"/>
      <c r="Q17" s="9"/>
      <c r="R17" s="9"/>
      <c r="S17" t="str">
        <f t="shared" si="0"/>
        <v/>
      </c>
    </row>
    <row r="18" spans="1:20" x14ac:dyDescent="0.3">
      <c r="A18" s="10" t="s">
        <v>146</v>
      </c>
      <c r="B18" s="10" t="s">
        <v>101</v>
      </c>
      <c r="C18" s="10" t="s">
        <v>49</v>
      </c>
      <c r="D18" s="10">
        <v>14</v>
      </c>
      <c r="E18" s="11">
        <v>46162.020833333336</v>
      </c>
      <c r="F18" s="10" t="s">
        <v>95</v>
      </c>
      <c r="G18" s="10">
        <v>15</v>
      </c>
      <c r="H18" s="10">
        <v>0</v>
      </c>
      <c r="I18" s="10" t="s">
        <v>144</v>
      </c>
      <c r="J18" s="10" t="s">
        <v>131</v>
      </c>
      <c r="K18" s="9"/>
      <c r="L18" s="9"/>
      <c r="M18" s="9"/>
      <c r="N18" s="9"/>
      <c r="O18" s="9"/>
      <c r="P18" s="9"/>
      <c r="Q18" s="9"/>
      <c r="R18" s="9"/>
      <c r="S18" t="str">
        <f t="shared" si="0"/>
        <v/>
      </c>
    </row>
    <row r="20" spans="1:20" x14ac:dyDescent="0.3">
      <c r="A20" s="10" t="s">
        <v>148</v>
      </c>
      <c r="B20" s="10" t="s">
        <v>11</v>
      </c>
      <c r="C20" s="10" t="s">
        <v>12</v>
      </c>
      <c r="D20" s="10">
        <v>14</v>
      </c>
      <c r="E20" s="11">
        <v>46175.950694444444</v>
      </c>
      <c r="F20" s="10" t="s">
        <v>13</v>
      </c>
      <c r="G20" s="10">
        <v>1</v>
      </c>
      <c r="H20" s="10">
        <v>0</v>
      </c>
      <c r="I20" s="10"/>
      <c r="J20" s="10" t="s">
        <v>131</v>
      </c>
      <c r="K20" s="9">
        <v>3</v>
      </c>
      <c r="L20" s="9">
        <v>4</v>
      </c>
      <c r="M20" s="9">
        <v>4</v>
      </c>
      <c r="N20" s="9">
        <v>4</v>
      </c>
      <c r="O20" s="9">
        <v>2</v>
      </c>
      <c r="P20" s="9">
        <v>3</v>
      </c>
      <c r="Q20" s="9">
        <v>3</v>
      </c>
      <c r="R20" s="9">
        <v>4</v>
      </c>
      <c r="S20">
        <f t="shared" ref="S20:S28" si="1">IFERROR(AVERAGE(K20:R20),"")</f>
        <v>3.375</v>
      </c>
      <c r="T20" t="s">
        <v>157</v>
      </c>
    </row>
    <row r="21" spans="1:20" x14ac:dyDescent="0.3">
      <c r="A21" t="s">
        <v>149</v>
      </c>
      <c r="B21" t="s">
        <v>11</v>
      </c>
      <c r="C21" t="s">
        <v>12</v>
      </c>
      <c r="D21">
        <v>14</v>
      </c>
      <c r="E21" s="2">
        <v>46175.950694444444</v>
      </c>
      <c r="F21" s="3" t="s">
        <v>13</v>
      </c>
      <c r="G21">
        <v>2</v>
      </c>
      <c r="H21">
        <v>0</v>
      </c>
      <c r="J21" t="s">
        <v>131</v>
      </c>
      <c r="K21" s="9">
        <v>3</v>
      </c>
      <c r="L21" s="9">
        <v>4</v>
      </c>
      <c r="M21" s="9">
        <v>4</v>
      </c>
      <c r="N21" s="9">
        <v>4</v>
      </c>
      <c r="O21" s="9">
        <v>3</v>
      </c>
      <c r="P21" s="9">
        <v>3</v>
      </c>
      <c r="Q21" s="9">
        <v>3</v>
      </c>
      <c r="R21" s="9">
        <v>4</v>
      </c>
      <c r="S21">
        <f t="shared" si="1"/>
        <v>3.5</v>
      </c>
    </row>
    <row r="22" spans="1:20" x14ac:dyDescent="0.3">
      <c r="A22" s="10" t="s">
        <v>150</v>
      </c>
      <c r="B22" s="10" t="s">
        <v>21</v>
      </c>
      <c r="C22" s="10" t="s">
        <v>19</v>
      </c>
      <c r="D22" s="10">
        <v>14</v>
      </c>
      <c r="E22" s="11">
        <v>46161.998611111114</v>
      </c>
      <c r="F22" s="10" t="s">
        <v>13</v>
      </c>
      <c r="G22" s="10">
        <v>1</v>
      </c>
      <c r="H22" s="10">
        <v>0</v>
      </c>
      <c r="I22" s="10"/>
      <c r="J22" s="10" t="s">
        <v>131</v>
      </c>
      <c r="K22" s="9"/>
      <c r="L22" s="9"/>
      <c r="M22" s="9"/>
      <c r="N22" s="9"/>
      <c r="O22" s="9"/>
      <c r="P22" s="9"/>
      <c r="Q22" s="9"/>
      <c r="R22" s="9"/>
      <c r="S22" t="str">
        <f t="shared" si="1"/>
        <v/>
      </c>
    </row>
    <row r="23" spans="1:20" x14ac:dyDescent="0.3">
      <c r="A23" t="s">
        <v>151</v>
      </c>
      <c r="B23" t="s">
        <v>21</v>
      </c>
      <c r="C23" t="s">
        <v>19</v>
      </c>
      <c r="D23">
        <v>14</v>
      </c>
      <c r="E23" s="2">
        <v>46161.998611111114</v>
      </c>
      <c r="F23" s="3" t="s">
        <v>13</v>
      </c>
      <c r="G23">
        <v>3</v>
      </c>
      <c r="H23">
        <v>0</v>
      </c>
      <c r="J23" t="s">
        <v>131</v>
      </c>
      <c r="K23" s="9"/>
      <c r="L23" s="9"/>
      <c r="M23" s="9"/>
      <c r="N23" s="9"/>
      <c r="O23" s="9"/>
      <c r="P23" s="9"/>
      <c r="Q23" s="9"/>
      <c r="R23" s="9"/>
      <c r="S23" t="str">
        <f t="shared" si="1"/>
        <v/>
      </c>
    </row>
    <row r="24" spans="1:20" x14ac:dyDescent="0.3">
      <c r="A24" s="10" t="s">
        <v>152</v>
      </c>
      <c r="B24" s="10" t="s">
        <v>21</v>
      </c>
      <c r="C24" s="10" t="s">
        <v>19</v>
      </c>
      <c r="D24" s="10">
        <v>14</v>
      </c>
      <c r="E24" s="11">
        <v>46161.998611111114</v>
      </c>
      <c r="F24" s="10" t="s">
        <v>13</v>
      </c>
      <c r="G24" s="10">
        <v>10</v>
      </c>
      <c r="H24" s="10">
        <v>0</v>
      </c>
      <c r="I24" s="10"/>
      <c r="J24" s="10" t="s">
        <v>131</v>
      </c>
      <c r="K24" s="9"/>
      <c r="L24" s="9"/>
      <c r="M24" s="9"/>
      <c r="N24" s="9"/>
      <c r="O24" s="9"/>
      <c r="P24" s="9"/>
      <c r="Q24" s="9"/>
      <c r="R24" s="9"/>
      <c r="S24" t="str">
        <f t="shared" si="1"/>
        <v/>
      </c>
    </row>
    <row r="25" spans="1:20" x14ac:dyDescent="0.3">
      <c r="A25" t="s">
        <v>153</v>
      </c>
      <c r="B25" t="s">
        <v>21</v>
      </c>
      <c r="C25" t="s">
        <v>19</v>
      </c>
      <c r="D25">
        <v>14</v>
      </c>
      <c r="E25" s="2">
        <v>46161.998611111114</v>
      </c>
      <c r="F25" s="3" t="s">
        <v>13</v>
      </c>
      <c r="G25">
        <v>2</v>
      </c>
      <c r="H25">
        <v>0</v>
      </c>
      <c r="J25" t="s">
        <v>131</v>
      </c>
      <c r="K25" s="9"/>
      <c r="L25" s="9"/>
      <c r="M25" s="9"/>
      <c r="N25" s="9"/>
      <c r="O25" s="9"/>
      <c r="P25" s="9"/>
      <c r="Q25" s="9"/>
      <c r="R25" s="9"/>
      <c r="S25" t="str">
        <f t="shared" si="1"/>
        <v/>
      </c>
    </row>
    <row r="26" spans="1:20" x14ac:dyDescent="0.3">
      <c r="A26" s="10" t="s">
        <v>154</v>
      </c>
      <c r="B26" s="10" t="s">
        <v>21</v>
      </c>
      <c r="C26" s="10" t="s">
        <v>19</v>
      </c>
      <c r="D26" s="10">
        <v>14</v>
      </c>
      <c r="E26" s="11">
        <v>46161.998611111114</v>
      </c>
      <c r="F26" s="10" t="s">
        <v>13</v>
      </c>
      <c r="G26" s="10">
        <v>1</v>
      </c>
      <c r="H26" s="10">
        <v>0</v>
      </c>
      <c r="I26" s="10"/>
      <c r="J26" s="10" t="s">
        <v>131</v>
      </c>
      <c r="K26" s="9"/>
      <c r="L26" s="9"/>
      <c r="M26" s="9"/>
      <c r="N26" s="9"/>
      <c r="O26" s="9"/>
      <c r="P26" s="9"/>
      <c r="Q26" s="9"/>
      <c r="R26" s="9"/>
      <c r="S26" t="str">
        <f t="shared" si="1"/>
        <v/>
      </c>
    </row>
    <row r="27" spans="1:20" x14ac:dyDescent="0.3">
      <c r="A27" t="s">
        <v>155</v>
      </c>
      <c r="B27" t="s">
        <v>101</v>
      </c>
      <c r="C27" t="s">
        <v>19</v>
      </c>
      <c r="D27">
        <v>14</v>
      </c>
      <c r="E27" s="2">
        <v>46161.992361111108</v>
      </c>
      <c r="F27" s="3" t="s">
        <v>13</v>
      </c>
      <c r="G27">
        <v>3</v>
      </c>
      <c r="H27">
        <v>0</v>
      </c>
      <c r="J27" t="s">
        <v>131</v>
      </c>
      <c r="K27" s="9"/>
      <c r="L27" s="9"/>
      <c r="M27" s="9"/>
      <c r="N27" s="9"/>
      <c r="O27" s="9"/>
      <c r="P27" s="9"/>
      <c r="Q27" s="9"/>
      <c r="R27" s="9"/>
      <c r="S27" t="str">
        <f t="shared" si="1"/>
        <v/>
      </c>
    </row>
    <row r="28" spans="1:20" x14ac:dyDescent="0.3">
      <c r="A28" s="10" t="s">
        <v>156</v>
      </c>
      <c r="B28" s="10" t="s">
        <v>101</v>
      </c>
      <c r="C28" s="10" t="s">
        <v>19</v>
      </c>
      <c r="D28" s="10">
        <v>14</v>
      </c>
      <c r="E28" s="11">
        <v>46161.993750000001</v>
      </c>
      <c r="F28" s="10" t="s">
        <v>13</v>
      </c>
      <c r="G28" s="10">
        <v>9</v>
      </c>
      <c r="H28" s="10">
        <v>0</v>
      </c>
      <c r="I28" s="10"/>
      <c r="J28" s="10" t="s">
        <v>131</v>
      </c>
      <c r="K28" s="9"/>
      <c r="L28" s="9"/>
      <c r="M28" s="9"/>
      <c r="N28" s="9"/>
      <c r="O28" s="9"/>
      <c r="P28" s="9"/>
      <c r="Q28" s="9"/>
      <c r="R28" s="9"/>
      <c r="S28" t="str">
        <f t="shared" si="1"/>
        <v/>
      </c>
    </row>
    <row r="29" spans="1:20" x14ac:dyDescent="0.3">
      <c r="A29" s="14" t="s">
        <v>147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</sheetData>
  <mergeCells count="3">
    <mergeCell ref="A1:T1"/>
    <mergeCell ref="A2:T2"/>
    <mergeCell ref="A29:T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Documents – Status</vt:lpstr>
      <vt:lpstr>Readiness Checklist</vt:lpstr>
    </vt:vector>
  </TitlesOfParts>
  <Company>Agfa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 Ozen</dc:creator>
  <cp:lastModifiedBy>Levent Ozen</cp:lastModifiedBy>
  <dcterms:created xsi:type="dcterms:W3CDTF">2026-06-02T22:21:58Z</dcterms:created>
  <dcterms:modified xsi:type="dcterms:W3CDTF">2026-06-02T22:51:11Z</dcterms:modified>
</cp:coreProperties>
</file>